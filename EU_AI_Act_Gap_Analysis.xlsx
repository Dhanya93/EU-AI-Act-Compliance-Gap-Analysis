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ssumptions &amp; Scope" sheetId="2" state="visible" r:id="rId2"/>
    <sheet xmlns:r="http://schemas.openxmlformats.org/officeDocument/2006/relationships" name="Risk Tier Classification" sheetId="3" state="visible" r:id="rId3"/>
    <sheet xmlns:r="http://schemas.openxmlformats.org/officeDocument/2006/relationships" name="Gap Analysis" sheetId="4" state="visible" r:id="rId4"/>
    <sheet xmlns:r="http://schemas.openxmlformats.org/officeDocument/2006/relationships" name="Remediation Roadmap" sheetId="5" state="visible" r:id="rId5"/>
    <sheet xmlns:r="http://schemas.openxmlformats.org/officeDocument/2006/relationships" name="Executive Summary" sheetId="6" state="visible" r:id="rId6"/>
    <sheet xmlns:r="http://schemas.openxmlformats.org/officeDocument/2006/relationships" name="How to Use" sheetId="7" state="visible" r:id="rId7"/>
  </sheets>
  <definedNames>
    <definedName name="_xlnm._FilterDatabase" localSheetId="3" hidden="1">'Gap Analysis'!$A$3:$J$26</definedName>
    <definedName name="_xlnm._FilterDatabase" localSheetId="4" hidden="1">'Remediation Roadmap'!$A$3:$H$21</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8"/>
    </font>
    <font>
      <name val="Arial"/>
      <i val="1"/>
      <color rgb="00AABDD6"/>
      <sz val="11"/>
    </font>
    <font>
      <name val="Arial"/>
      <b val="1"/>
      <color rgb="00FFFFFF"/>
      <sz val="10"/>
    </font>
    <font>
      <name val="Arial"/>
      <color rgb="001F2D3D"/>
      <sz val="10"/>
    </font>
    <font>
      <name val="Arial"/>
      <b val="1"/>
      <color rgb="00C0392B"/>
      <sz val="10"/>
    </font>
    <font>
      <name val="Arial"/>
      <i val="1"/>
      <color rgb="007D6608"/>
      <sz val="9"/>
    </font>
    <font>
      <name val="Arial"/>
      <b val="1"/>
      <color rgb="00FFFFFF"/>
      <sz val="14"/>
    </font>
    <font>
      <name val="Arial"/>
      <i val="1"/>
      <color rgb="00AABDD6"/>
      <sz val="9"/>
    </font>
    <font>
      <name val="Arial"/>
      <color rgb="001A5276"/>
      <sz val="9"/>
    </font>
    <font>
      <name val="Arial"/>
      <b val="1"/>
      <color rgb="001F2D3D"/>
      <sz val="9"/>
    </font>
    <font>
      <name val="Arial"/>
      <color rgb="001F2D3D"/>
      <sz val="9"/>
    </font>
    <font>
      <name val="Arial"/>
      <color rgb="001E8449"/>
      <sz val="9"/>
    </font>
    <font>
      <name val="Arial"/>
      <b val="1"/>
      <color rgb="00FFFFFF"/>
      <sz val="9"/>
    </font>
    <font>
      <name val="Arial"/>
      <b val="1"/>
      <color rgb="001F2D3D"/>
      <sz val="10"/>
    </font>
    <font>
      <name val="Arial"/>
      <color rgb="003A7BD5"/>
      <sz val="10"/>
    </font>
    <font>
      <name val="Arial"/>
      <b val="1"/>
      <color rgb="00FFFFFF"/>
      <sz val="11"/>
    </font>
    <font>
      <name val="Arial"/>
      <b val="1"/>
      <color rgb="00FFFFFF"/>
      <sz val="13"/>
    </font>
  </fonts>
  <fills count="17">
    <fill>
      <patternFill/>
    </fill>
    <fill>
      <patternFill patternType="gray125"/>
    </fill>
    <fill>
      <patternFill patternType="solid">
        <fgColor rgb="001F2D3D"/>
      </patternFill>
    </fill>
    <fill>
      <patternFill patternType="solid">
        <fgColor rgb="002E4A6B"/>
      </patternFill>
    </fill>
    <fill>
      <patternFill patternType="solid">
        <fgColor rgb="00EEF4FC"/>
      </patternFill>
    </fill>
    <fill>
      <patternFill patternType="solid">
        <fgColor rgb="003A7BD5"/>
      </patternFill>
    </fill>
    <fill>
      <patternFill patternType="solid">
        <fgColor rgb="00FFFFFF"/>
      </patternFill>
    </fill>
    <fill>
      <patternFill patternType="solid">
        <fgColor rgb="00FFF9E6"/>
      </patternFill>
    </fill>
    <fill>
      <patternFill patternType="solid">
        <fgColor rgb="00EBF5FB"/>
      </patternFill>
    </fill>
    <fill>
      <patternFill patternType="solid">
        <fgColor rgb="00D6E4F7"/>
      </patternFill>
    </fill>
    <fill>
      <patternFill patternType="solid">
        <fgColor rgb="00F7F9FC"/>
      </patternFill>
    </fill>
    <fill>
      <patternFill patternType="solid">
        <fgColor rgb="00EAFAF1"/>
      </patternFill>
    </fill>
    <fill>
      <patternFill patternType="solid">
        <fgColor rgb="002E86C1"/>
      </patternFill>
    </fill>
    <fill>
      <patternFill patternType="solid">
        <fgColor rgb="00F39C12"/>
      </patternFill>
    </fill>
    <fill>
      <patternFill patternType="solid">
        <fgColor rgb="00E67E22"/>
      </patternFill>
    </fill>
    <fill>
      <patternFill patternType="solid">
        <fgColor rgb="00C0392B"/>
      </patternFill>
    </fill>
    <fill>
      <patternFill patternType="solid">
        <fgColor rgb="00E74C3C"/>
      </patternFill>
    </fill>
  </fills>
  <borders count="2">
    <border>
      <left/>
      <right/>
      <top/>
      <bottom/>
      <diagonal/>
    </border>
    <border>
      <left style="thin">
        <color rgb="00C0C8D4"/>
      </left>
      <right style="thin">
        <color rgb="00C0C8D4"/>
      </right>
      <top style="thin">
        <color rgb="00C0C8D4"/>
      </top>
      <bottom style="thin">
        <color rgb="00C0C8D4"/>
      </bottom>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indent="1"/>
    </xf>
    <xf numFmtId="0" fontId="4" fillId="4" borderId="1" applyAlignment="1" pivotButton="0" quotePrefix="0" xfId="0">
      <alignment horizontal="left" vertical="center" wrapText="1" indent="1"/>
    </xf>
    <xf numFmtId="0" fontId="3" fillId="5" borderId="1" applyAlignment="1" pivotButton="0" quotePrefix="0" xfId="0">
      <alignment horizontal="left" vertical="center" indent="1"/>
    </xf>
    <xf numFmtId="0" fontId="4" fillId="6" borderId="1" applyAlignment="1" pivotButton="0" quotePrefix="0" xfId="0">
      <alignment horizontal="left" vertical="center" wrapText="1" indent="1"/>
    </xf>
    <xf numFmtId="0" fontId="5" fillId="6" borderId="1" applyAlignment="1" pivotButton="0" quotePrefix="0" xfId="0">
      <alignment horizontal="left" vertical="center" wrapText="1" indent="1"/>
    </xf>
    <xf numFmtId="0" fontId="6" fillId="7" borderId="1" applyAlignment="1" pivotButton="0" quotePrefix="0" xfId="0">
      <alignment horizontal="left" vertical="center" wrapText="1" inden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8" borderId="1" applyAlignment="1" pivotButton="0" quotePrefix="0" xfId="0">
      <alignment horizontal="left" vertical="center" wrapText="1" indent="1"/>
    </xf>
    <xf numFmtId="0" fontId="10" fillId="9" borderId="1" applyAlignment="1" pivotButton="0" quotePrefix="0" xfId="0">
      <alignment horizontal="left" vertical="center" wrapText="1" indent="1"/>
    </xf>
    <xf numFmtId="0" fontId="11" fillId="6" borderId="1" applyAlignment="1" pivotButton="0" quotePrefix="0" xfId="0">
      <alignment horizontal="left" vertical="center" wrapText="1" indent="1"/>
    </xf>
    <xf numFmtId="0" fontId="11" fillId="4" borderId="1" applyAlignment="1" pivotButton="0" quotePrefix="0" xfId="0">
      <alignment horizontal="left" vertical="center" wrapText="1" indent="1"/>
    </xf>
    <xf numFmtId="0" fontId="3"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10" fillId="10" borderId="1" applyAlignment="1" pivotButton="0" quotePrefix="0" xfId="0">
      <alignment horizontal="center" vertical="center" wrapText="1"/>
    </xf>
    <xf numFmtId="0" fontId="10" fillId="10" borderId="1" applyAlignment="1" pivotButton="0" quotePrefix="0" xfId="0">
      <alignment horizontal="left" vertical="center" wrapText="1"/>
    </xf>
    <xf numFmtId="0" fontId="11" fillId="10" borderId="1" applyAlignment="1" pivotButton="0" quotePrefix="0" xfId="0">
      <alignment horizontal="left" vertical="center" wrapText="1"/>
    </xf>
    <xf numFmtId="0" fontId="12" fillId="11" borderId="1" applyAlignment="1" pivotButton="0" quotePrefix="0" xfId="0">
      <alignment horizontal="left" vertical="center" wrapText="1" indent="1"/>
    </xf>
    <xf numFmtId="0" fontId="13" fillId="12" borderId="1" applyAlignment="1" pivotButton="0" quotePrefix="0" xfId="0">
      <alignment horizontal="center" vertical="center"/>
    </xf>
    <xf numFmtId="0" fontId="11" fillId="6" borderId="1" applyAlignment="1" pivotButton="0" quotePrefix="0" xfId="0">
      <alignment horizontal="center" vertical="center" wrapText="1"/>
    </xf>
    <xf numFmtId="0" fontId="13" fillId="13" borderId="1" applyAlignment="1" pivotButton="0" quotePrefix="0" xfId="0">
      <alignment horizontal="center" vertical="center" wrapText="1"/>
    </xf>
    <xf numFmtId="0" fontId="13" fillId="14" borderId="1" applyAlignment="1" pivotButton="0" quotePrefix="0" xfId="0">
      <alignment horizontal="center" vertical="center" wrapText="1"/>
    </xf>
    <xf numFmtId="0" fontId="11" fillId="10" borderId="1" applyAlignment="1" pivotButton="0" quotePrefix="0" xfId="0">
      <alignment horizontal="center" vertical="center" wrapText="1"/>
    </xf>
    <xf numFmtId="0" fontId="13" fillId="15" borderId="1" applyAlignment="1" pivotButton="0" quotePrefix="0" xfId="0">
      <alignment horizontal="center" vertical="center" wrapText="1"/>
    </xf>
    <xf numFmtId="0" fontId="13" fillId="15" borderId="1" applyAlignment="1" pivotButton="0" quotePrefix="0" xfId="0">
      <alignment horizontal="center" vertical="center"/>
    </xf>
    <xf numFmtId="0" fontId="13" fillId="16" borderId="1" applyAlignment="1" pivotButton="0" quotePrefix="0" xfId="0">
      <alignment horizontal="center" vertical="center" wrapText="1"/>
    </xf>
    <xf numFmtId="0" fontId="13" fillId="14" borderId="1" applyAlignment="1" pivotButton="0" quotePrefix="0" xfId="0">
      <alignment horizontal="center" vertical="center"/>
    </xf>
    <xf numFmtId="0" fontId="13" fillId="16" borderId="1" applyAlignment="1" pivotButton="0" quotePrefix="0" xfId="0">
      <alignment horizontal="center" vertical="center"/>
    </xf>
    <xf numFmtId="0" fontId="14" fillId="9" borderId="1" applyAlignment="1" pivotButton="0" quotePrefix="0" xfId="0">
      <alignment horizontal="center" vertical="center" wrapText="1"/>
    </xf>
    <xf numFmtId="0" fontId="15" fillId="6" borderId="1" applyAlignment="1" pivotButton="0" quotePrefix="0" xfId="0">
      <alignment horizontal="center" vertical="center" wrapText="1"/>
    </xf>
    <xf numFmtId="0" fontId="16" fillId="3" borderId="1" applyAlignment="1" pivotButton="0" quotePrefix="0" xfId="0">
      <alignment horizontal="center" vertical="center" wrapText="1"/>
    </xf>
    <xf numFmtId="0" fontId="3" fillId="12" borderId="1" applyAlignment="1" pivotButton="0" quotePrefix="0" xfId="0">
      <alignment horizontal="center" vertical="center"/>
    </xf>
    <xf numFmtId="0" fontId="11" fillId="4" borderId="1" applyAlignment="1" pivotButton="0" quotePrefix="0" xfId="0">
      <alignment horizontal="left" vertical="center" wrapText="1"/>
    </xf>
    <xf numFmtId="0" fontId="3" fillId="15" borderId="1" applyAlignment="1" pivotButton="0" quotePrefix="0" xfId="0">
      <alignment horizontal="center" vertical="center"/>
    </xf>
    <xf numFmtId="0" fontId="3" fillId="14" borderId="1" applyAlignment="1" pivotButton="0" quotePrefix="0" xfId="0">
      <alignment horizontal="center" vertical="center"/>
    </xf>
    <xf numFmtId="0" fontId="17" fillId="2" borderId="1" applyAlignment="1" pivotButton="0" quotePrefix="0" xfId="0">
      <alignment horizontal="center" vertical="center" wrapText="1"/>
    </xf>
    <xf numFmtId="0" fontId="13" fillId="3" borderId="1" applyAlignment="1" pivotButton="0" quotePrefix="0" xfId="0">
      <alignment horizontal="center" vertical="center" wrapText="1"/>
    </xf>
    <xf numFmtId="0" fontId="13"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6" customWidth="1" min="1" max="1"/>
    <col width="26" customWidth="1" min="2" max="2"/>
    <col width="26" customWidth="1" min="3" max="3"/>
    <col width="26" customWidth="1" min="4" max="4"/>
  </cols>
  <sheetData>
    <row r="1" ht="50" customHeight="1">
      <c r="A1" s="1" t="inlineStr">
        <is>
          <t>EU AI ACT — COMPLIANCE GAP ANALYSIS</t>
        </is>
      </c>
    </row>
    <row r="2" ht="24" customHeight="1">
      <c r="A2" s="2" t="inlineStr">
        <is>
          <t>Regulation (EU) 2024/1689 — Artificial Intelligence Act</t>
        </is>
      </c>
    </row>
    <row r="4" ht="36" customHeight="1">
      <c r="A4" s="3" t="inlineStr">
        <is>
          <t>Organisation</t>
        </is>
      </c>
      <c r="C4" s="4" t="inlineStr">
        <is>
          <t>TechCorp Solutions Ltd (Fictional)</t>
        </is>
      </c>
    </row>
    <row r="5" ht="36" customHeight="1">
      <c r="A5" s="5" t="inlineStr">
        <is>
          <t>Industry</t>
        </is>
      </c>
      <c r="C5" s="6" t="inlineStr">
        <is>
          <t>Technology / SaaS</t>
        </is>
      </c>
    </row>
    <row r="6" ht="36" customHeight="1">
      <c r="A6" s="3" t="inlineStr">
        <is>
          <t>AI Systems in Scope</t>
        </is>
      </c>
      <c r="C6" s="4" t="inlineStr">
        <is>
          <t>3 systems — Internal LLM Chatbot, HR Screening AI, Fraud Detection Model</t>
        </is>
      </c>
    </row>
    <row r="7" ht="36" customHeight="1">
      <c r="A7" s="5" t="inlineStr">
        <is>
          <t>Assessment Date</t>
        </is>
      </c>
      <c r="C7" s="6" t="inlineStr">
        <is>
          <t>June 2026</t>
        </is>
      </c>
    </row>
    <row r="8" ht="36" customHeight="1">
      <c r="A8" s="3" t="inlineStr">
        <is>
          <t>Regulation</t>
        </is>
      </c>
      <c r="C8" s="4" t="inlineStr">
        <is>
          <t>EU AI Act — Regulation (EU) 2024/1689 — In force August 2024</t>
        </is>
      </c>
    </row>
    <row r="9" ht="36" customHeight="1">
      <c r="A9" s="5" t="inlineStr">
        <is>
          <t>Key Deadlines</t>
        </is>
      </c>
      <c r="C9" s="6" t="inlineStr">
        <is>
          <t>Feb 2025: Prohibited AI rules apply | Aug 2026: GPAI rules | Aug 2027: High-Risk rules</t>
        </is>
      </c>
    </row>
    <row r="10" ht="36" customHeight="1">
      <c r="A10" s="3" t="inlineStr">
        <is>
          <t>Assessor</t>
        </is>
      </c>
      <c r="C10" s="4" t="inlineStr">
        <is>
          <t>Dhanya Mary Sam — GRC &amp; AI Governance Specialist</t>
        </is>
      </c>
    </row>
    <row r="11" ht="36" customHeight="1">
      <c r="A11" s="5" t="inlineStr">
        <is>
          <t>Overall Finding</t>
        </is>
      </c>
      <c r="C11" s="7" t="inlineStr">
        <is>
          <t>HIGH COMPLIANCE RISK — 2 of 3 AI systems have significant gaps</t>
        </is>
      </c>
    </row>
    <row r="12" ht="36" customHeight="1">
      <c r="A12" s="3" t="inlineStr">
        <is>
          <t>Version</t>
        </is>
      </c>
      <c r="C12" s="4" t="inlineStr">
        <is>
          <t>1.0 — DRAFT Portfolio Project</t>
        </is>
      </c>
    </row>
    <row r="14" ht="10" customHeight="1"/>
    <row r="15" ht="44" customHeight="1">
      <c r="A15" s="8" t="inlineStr">
        <is>
          <t>⚠️  LEARNER CONTEXT: This gap analysis was created as a portfolio and learning project. It demonstrates framework literacy and gap identification skills at an entry GRC level. All organisations and scenarios are fictional.</t>
        </is>
      </c>
    </row>
  </sheetData>
  <mergeCells count="21">
    <mergeCell ref="C6:D6"/>
    <mergeCell ref="A11:B11"/>
    <mergeCell ref="C5:D5"/>
    <mergeCell ref="A6:B6"/>
    <mergeCell ref="C4:D4"/>
    <mergeCell ref="C10:D10"/>
    <mergeCell ref="A7:B7"/>
    <mergeCell ref="A15:D15"/>
    <mergeCell ref="C9:D9"/>
    <mergeCell ref="A12:B12"/>
    <mergeCell ref="A1:D1"/>
    <mergeCell ref="C12:D12"/>
    <mergeCell ref="C11:D11"/>
    <mergeCell ref="A5:B5"/>
    <mergeCell ref="A8:B8"/>
    <mergeCell ref="C8:D8"/>
    <mergeCell ref="A4:B4"/>
    <mergeCell ref="C7:D7"/>
    <mergeCell ref="A10:B10"/>
    <mergeCell ref="A2:D2"/>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28" customWidth="1" min="1" max="1"/>
    <col width="64" customWidth="1" min="2" max="2"/>
  </cols>
  <sheetData>
    <row r="1" ht="40" customHeight="1">
      <c r="A1" s="9" t="inlineStr">
        <is>
          <t>Assumptions &amp; Scope</t>
        </is>
      </c>
    </row>
    <row r="2" ht="18" customHeight="1">
      <c r="A2" s="10" t="inlineStr">
        <is>
          <t>EU AI Act Compliance Gap Analysis — TechCorp Solutions Ltd</t>
        </is>
      </c>
    </row>
    <row r="4" ht="160" customHeight="1">
      <c r="A4" s="11" t="inlineStr">
        <is>
          <t>📚  LEARNER CONTEXT
This gap analysis was created as a learning and portfolio project to demonstrate understanding of the EU AI Act structure, risk tier classification, and compliance obligations. It is based on publicly available official text and guidance.
Article references are included to show framework literacy — in practice, detailed legal interpretation and compliance implementation would involve qualified legal counsel and certified AI governance professionals.
This project demonstrates: (1) EU AI Act risk tier classification, (2) identification of applicable obligations per tier, (3) gap analysis methodology, (4) remediation planning thinking.</t>
        </is>
      </c>
    </row>
    <row r="6" ht="8" customHeight="1"/>
    <row r="7" ht="28" customHeight="1">
      <c r="A7" s="3" t="inlineStr">
        <is>
          <t>1.  Organisation Context</t>
        </is>
      </c>
    </row>
    <row r="8" ht="40" customHeight="1">
      <c r="A8" s="12" t="inlineStr">
        <is>
          <t>Organisation</t>
        </is>
      </c>
      <c r="B8" s="13" t="inlineStr">
        <is>
          <t>TechCorp Solutions Ltd — 500-employee SaaS company, Greater Toronto Area</t>
        </is>
      </c>
    </row>
    <row r="9" ht="40" customHeight="1">
      <c r="A9" s="12" t="inlineStr">
        <is>
          <t>Headquarters</t>
        </is>
      </c>
      <c r="B9" s="14" t="inlineStr">
        <is>
          <t>Toronto, Canada — with customers in EU (GDPR &amp; EU AI Act applicable)</t>
        </is>
      </c>
    </row>
    <row r="10" ht="40" customHeight="1">
      <c r="A10" s="12" t="inlineStr">
        <is>
          <t>AI Systems in Scope</t>
        </is>
      </c>
      <c r="B10" s="13" t="inlineStr">
        <is>
          <t>3 AI systems assessed: Internal LLM Chatbot, HR Screening AI, Fraud Detection Model</t>
        </is>
      </c>
    </row>
    <row r="11" ht="40" customHeight="1">
      <c r="A11" s="12" t="inlineStr">
        <is>
          <t>Current AI Governance</t>
        </is>
      </c>
      <c r="B11" s="14" t="inlineStr">
        <is>
          <t>No formal AI governance framework in place at time of assessment</t>
        </is>
      </c>
    </row>
    <row r="12" ht="40" customHeight="1">
      <c r="A12" s="12" t="inlineStr">
        <is>
          <t>Why EU AI Act Applies</t>
        </is>
      </c>
      <c r="B12" s="13" t="inlineStr">
        <is>
          <t>TechCorp provides SaaS services to EU customers and processes EU personal data — EU AI Act applies to providers placing AI systems on the EU market regardless of where they are headquartered</t>
        </is>
      </c>
    </row>
    <row r="14" ht="8" customHeight="1"/>
    <row r="15" ht="28" customHeight="1">
      <c r="A15" s="3" t="inlineStr">
        <is>
          <t>2.  EU AI Act Key Deadlines</t>
        </is>
      </c>
    </row>
    <row r="16" ht="40" customHeight="1">
      <c r="A16" s="12" t="inlineStr">
        <is>
          <t>August 2024</t>
        </is>
      </c>
      <c r="B16" s="13" t="inlineStr">
        <is>
          <t>EU AI Act entered into force</t>
        </is>
      </c>
    </row>
    <row r="17" ht="40" customHeight="1">
      <c r="A17" s="12" t="inlineStr">
        <is>
          <t>February 2025</t>
        </is>
      </c>
      <c r="B17" s="14" t="inlineStr">
        <is>
          <t>Prohibited AI practices (Article 5) become enforceable</t>
        </is>
      </c>
    </row>
    <row r="18" ht="40" customHeight="1">
      <c r="A18" s="12" t="inlineStr">
        <is>
          <t>August 2025</t>
        </is>
      </c>
      <c r="B18" s="13" t="inlineStr">
        <is>
          <t>GPAI model rules and governance obligations apply</t>
        </is>
      </c>
    </row>
    <row r="19" ht="40" customHeight="1">
      <c r="A19" s="12" t="inlineStr">
        <is>
          <t>August 2026</t>
        </is>
      </c>
      <c r="B19" s="14" t="inlineStr">
        <is>
          <t>Obligations for High-Risk AI systems (Annex III) apply — KEY DEADLINE FOR TECHCORP</t>
        </is>
      </c>
    </row>
    <row r="20" ht="40" customHeight="1">
      <c r="A20" s="12" t="inlineStr">
        <is>
          <t>August 2027</t>
        </is>
      </c>
      <c r="B20" s="13" t="inlineStr">
        <is>
          <t>Obligations for High-Risk AI systems under Annex I (safety components) apply</t>
        </is>
      </c>
    </row>
    <row r="21" ht="40" customHeight="1">
      <c r="A21" s="12" t="inlineStr">
        <is>
          <t>August 2030</t>
        </is>
      </c>
      <c r="B21" s="14" t="inlineStr">
        <is>
          <t>Obligations for existing High-Risk AI systems already on market apply</t>
        </is>
      </c>
    </row>
    <row r="23" ht="8" customHeight="1"/>
    <row r="24" ht="28" customHeight="1">
      <c r="A24" s="3" t="inlineStr">
        <is>
          <t>3.  AI Systems Assessed &amp; Risk Classification</t>
        </is>
      </c>
    </row>
    <row r="25" ht="40" customHeight="1">
      <c r="A25" s="12" t="inlineStr">
        <is>
          <t>System 1: Internal LLM Chatbot</t>
        </is>
      </c>
      <c r="B25" s="13" t="inlineStr">
        <is>
          <t>Risk Tier: LIMITED RISK — customer-facing chatbot. Obligations: transparency disclosure to users (Art.50)</t>
        </is>
      </c>
    </row>
    <row r="26" ht="40" customHeight="1">
      <c r="A26" s="12" t="inlineStr">
        <is>
          <t>System 2: HR Screening AI</t>
        </is>
      </c>
      <c r="B26" s="14" t="inlineStr">
        <is>
          <t>Risk Tier: HIGH RISK — Annex III Category 4 (employment decisions). Full high-risk obligations apply</t>
        </is>
      </c>
    </row>
    <row r="27" ht="40" customHeight="1">
      <c r="A27" s="12" t="inlineStr">
        <is>
          <t>System 3: Fraud Detection Model</t>
        </is>
      </c>
      <c r="B27" s="13" t="inlineStr">
        <is>
          <t>Risk Tier: HIGH RISK — Annex III Category 5b (access to financial services). Full high-risk obligations apply</t>
        </is>
      </c>
    </row>
    <row r="28" ht="40" customHeight="1">
      <c r="A28" s="12" t="inlineStr">
        <is>
          <t>Unacceptable Risk Check</t>
        </is>
      </c>
      <c r="B28" s="14" t="inlineStr">
        <is>
          <t>None of TechCorp's AI systems fall under Article 5 prohibited practices (social scoring, real-time biometric surveillance, etc.)</t>
        </is>
      </c>
    </row>
    <row r="30" ht="8" customHeight="1"/>
    <row r="31" ht="28" customHeight="1">
      <c r="A31" s="3" t="inlineStr">
        <is>
          <t>4.  Assessment Scope &amp; Limitations</t>
        </is>
      </c>
    </row>
    <row r="32" ht="40" customHeight="1">
      <c r="A32" s="12" t="inlineStr">
        <is>
          <t>In Scope</t>
        </is>
      </c>
      <c r="B32" s="13" t="inlineStr">
        <is>
          <t>EU AI Act obligations applicable to TechCorp as provider/deployer of AI systems in EU market</t>
        </is>
      </c>
    </row>
    <row r="33" ht="40" customHeight="1">
      <c r="A33" s="12" t="inlineStr">
        <is>
          <t>Out of Scope</t>
        </is>
      </c>
      <c r="B33" s="14" t="inlineStr">
        <is>
          <t>GPAI (General Purpose AI) model obligations — TechCorp does not develop foundation models</t>
        </is>
      </c>
    </row>
    <row r="34" ht="40" customHeight="1">
      <c r="A34" s="12" t="inlineStr">
        <is>
          <t>Method</t>
        </is>
      </c>
      <c r="B34" s="13" t="inlineStr">
        <is>
          <t>Gap analysis based on official EU AI Act text, recitals, and publicly available compliance guidance</t>
        </is>
      </c>
    </row>
    <row r="35" ht="40" customHeight="1">
      <c r="A35" s="12" t="inlineStr">
        <is>
          <t>Limitations</t>
        </is>
      </c>
      <c r="B35" s="14" t="inlineStr">
        <is>
          <t>Legal interpretation of specific articles may vary — this analysis reflects a learning-level reading of the regulation. Formal compliance assessment would require qualified legal counsel.</t>
        </is>
      </c>
    </row>
  </sheetData>
  <mergeCells count="7">
    <mergeCell ref="A4:B4"/>
    <mergeCell ref="A24:B24"/>
    <mergeCell ref="A2:B2"/>
    <mergeCell ref="A15:B15"/>
    <mergeCell ref="A7:B7"/>
    <mergeCell ref="A1:B1"/>
    <mergeCell ref="A31:B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14" customWidth="1" min="1" max="1"/>
    <col width="22" customWidth="1" min="2" max="2"/>
    <col width="28" customWidth="1" min="3" max="3"/>
    <col width="18" customWidth="1" min="4" max="4"/>
    <col width="18" customWidth="1" min="5" max="5"/>
    <col width="28" customWidth="1" min="6" max="6"/>
  </cols>
  <sheetData>
    <row r="1" ht="36" customHeight="1">
      <c r="A1" s="9" t="inlineStr">
        <is>
          <t>EU AI Act — Risk Tier Classification &amp; System Inventory</t>
        </is>
      </c>
    </row>
    <row r="2" ht="18" customHeight="1">
      <c r="A2" s="10" t="inlineStr">
        <is>
          <t>TechCorp Solutions Ltd — AI System Register</t>
        </is>
      </c>
    </row>
    <row r="3" ht="36" customHeight="1">
      <c r="A3" s="15" t="inlineStr">
        <is>
          <t>System ID</t>
        </is>
      </c>
      <c r="B3" s="15" t="inlineStr">
        <is>
          <t>AI System</t>
        </is>
      </c>
      <c r="C3" s="15" t="inlineStr">
        <is>
          <t>Description</t>
        </is>
      </c>
      <c r="D3" s="15" t="inlineStr">
        <is>
          <t>EU AI Act Tier</t>
        </is>
      </c>
      <c r="E3" s="15" t="inlineStr">
        <is>
          <t>Legal Basis</t>
        </is>
      </c>
      <c r="F3" s="15" t="inlineStr">
        <is>
          <t>Key Obligations</t>
        </is>
      </c>
    </row>
    <row r="4" ht="110" customHeight="1">
      <c r="A4" s="16" t="inlineStr">
        <is>
          <t>AI-001</t>
        </is>
      </c>
      <c r="B4" s="17" t="inlineStr">
        <is>
          <t>Internal LLM Chatbot</t>
        </is>
      </c>
      <c r="C4" s="18" t="inlineStr">
        <is>
          <t>Customer-facing conversational AI that answers product questions, raises support tickets, and provides account information.</t>
        </is>
      </c>
      <c r="D4" s="16" t="inlineStr">
        <is>
          <t>LIMITED RISK</t>
        </is>
      </c>
      <c r="E4" s="18" t="inlineStr">
        <is>
          <t>Art.50 — Transparency obligations for AI systems interacting with humans</t>
        </is>
      </c>
      <c r="F4" s="18" t="inlineStr">
        <is>
          <t>• Disclose to users they are interacting with AI (Art.50.1)
• No obligation to disclose if obvious from context
• No conformity assessment required
• No registration required</t>
        </is>
      </c>
    </row>
    <row r="5" ht="110" customHeight="1">
      <c r="A5" s="19" t="inlineStr">
        <is>
          <t>AI-002</t>
        </is>
      </c>
      <c r="B5" s="20" t="inlineStr">
        <is>
          <t>HR Screening AI</t>
        </is>
      </c>
      <c r="C5" s="21" t="inlineStr">
        <is>
          <t>AI system that analyses CVs, cover letters, and assessments to rank and score job candidates for open positions.</t>
        </is>
      </c>
      <c r="D5" s="16" t="inlineStr">
        <is>
          <t>HIGH RISK</t>
        </is>
      </c>
      <c r="E5" s="21" t="inlineStr">
        <is>
          <t>Annex III, Category 4 — AI used for recruitment, selection, and evaluation of persons for employment</t>
        </is>
      </c>
      <c r="F5" s="21" t="inlineStr">
        <is>
          <t>• Risk management system (Art.9)
• Data governance (Art.10)
• Technical documentation (Art.11)
• Record-keeping / logging (Art.12)
• Transparency to deployers (Art.13)
• Human oversight (Art.14)
• Accuracy &amp; robustness (Art.15)
• Conformity assessment (Art.43)
• EU database registration (Art.71)</t>
        </is>
      </c>
    </row>
    <row r="6" ht="110" customHeight="1">
      <c r="A6" s="16" t="inlineStr">
        <is>
          <t>AI-003</t>
        </is>
      </c>
      <c r="B6" s="17" t="inlineStr">
        <is>
          <t>Fraud Detection Model</t>
        </is>
      </c>
      <c r="C6" s="18" t="inlineStr">
        <is>
          <t>ML model that analyses transaction patterns in real-time to detect and flag potentially fraudulent activity for financial services customers.</t>
        </is>
      </c>
      <c r="D6" s="16" t="inlineStr">
        <is>
          <t>HIGH RISK</t>
        </is>
      </c>
      <c r="E6" s="18" t="inlineStr">
        <is>
          <t>Annex III, Category 5(b) — AI used to evaluate creditworthiness or establish credit scores</t>
        </is>
      </c>
      <c r="F6" s="18" t="inlineStr">
        <is>
          <t>• Risk management system (Art.9)
• Data governance (Art.10)
• Technical documentation (Art.11)
• Record-keeping / logging (Art.12)
• Transparency to deployers (Art.13)
• Human oversight (Art.14)
• Accuracy &amp; robustness (Art.15)
• Conformity assessment (Art.43)
• EU database registration (Art.71)</t>
        </is>
      </c>
    </row>
    <row r="8" ht="8" customHeight="1"/>
    <row r="9" ht="56" customHeight="1">
      <c r="A9" s="22" t="inlineStr">
        <is>
          <t>📋  Article 5 — Prohibited AI Practices Check: None of TechCorp's AI systems fall under prohibited practices. Prohibited practices include: real-time remote biometric identification in public spaces, social scoring by public authorities, manipulation of behaviour through subliminal techniques, exploitation of vulnerable groups, and untargeted scraping of facial images. TechCorp operates none of these.</t>
        </is>
      </c>
    </row>
  </sheetData>
  <mergeCells count="3">
    <mergeCell ref="A2:F2"/>
    <mergeCell ref="A1:F1"/>
    <mergeCell ref="A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26" customWidth="1" min="4" max="4"/>
    <col width="32" customWidth="1" min="5" max="5"/>
    <col width="32" customWidth="1" min="6" max="6"/>
    <col width="16" customWidth="1" min="7" max="7"/>
    <col width="12" customWidth="1" min="8" max="8"/>
    <col width="28" customWidth="1" min="9" max="9"/>
    <col width="14" customWidth="1" min="10" max="10"/>
  </cols>
  <sheetData>
    <row r="1" ht="36" customHeight="1">
      <c r="A1" s="9" t="inlineStr">
        <is>
          <t>EU AI Act — Compliance Gap Analysis by AI System</t>
        </is>
      </c>
    </row>
    <row r="2" ht="18" customHeight="1">
      <c r="A2" s="10" t="inlineStr">
        <is>
          <t>TechCorp Solutions Ltd  |  June 2026  |  Assessor: Dhanya Mary Sam</t>
        </is>
      </c>
    </row>
    <row r="3" ht="40" customHeight="1">
      <c r="A3" s="15" t="inlineStr">
        <is>
          <t>System</t>
        </is>
      </c>
      <c r="B3" s="15" t="inlineStr">
        <is>
          <t>Article</t>
        </is>
      </c>
      <c r="C3" s="15" t="inlineStr">
        <is>
          <t>Obligation Title</t>
        </is>
      </c>
      <c r="D3" s="15" t="inlineStr">
        <is>
          <t>What the Law Requires</t>
        </is>
      </c>
      <c r="E3" s="15" t="inlineStr">
        <is>
          <t>Current State</t>
        </is>
      </c>
      <c r="F3" s="15" t="inlineStr">
        <is>
          <t>Gap Identified</t>
        </is>
      </c>
      <c r="G3" s="15" t="inlineStr">
        <is>
          <t>Compliance Status</t>
        </is>
      </c>
      <c r="H3" s="15" t="inlineStr">
        <is>
          <t>Priority</t>
        </is>
      </c>
      <c r="I3" s="15" t="inlineStr">
        <is>
          <t>Recommended Action</t>
        </is>
      </c>
      <c r="J3" s="15" t="inlineStr">
        <is>
          <t>Target Date</t>
        </is>
      </c>
    </row>
    <row r="4" ht="75" customHeight="1">
      <c r="A4" s="23" t="inlineStr">
        <is>
          <t>AI-001</t>
        </is>
      </c>
      <c r="B4" s="24" t="inlineStr">
        <is>
          <t>Art.50.1</t>
        </is>
      </c>
      <c r="C4" s="18" t="inlineStr">
        <is>
          <t>Transparency — AI Interaction Disclosure</t>
        </is>
      </c>
      <c r="D4" s="18" t="inlineStr">
        <is>
          <t>Providers must ensure AI systems interacting with humans notify users they are interacting with AI, unless obvious from context.</t>
        </is>
      </c>
      <c r="E4" s="18" t="inlineStr">
        <is>
          <t>Chatbot has a small 'AI' label in the interface. No explicit verbal/written disclosure at conversation start.</t>
        </is>
      </c>
      <c r="F4" s="18" t="inlineStr">
        <is>
          <t>Disclosure exists but is not sufficiently prominent. No explicit statement at session start — may not meet Art.50 requirements.</t>
        </is>
      </c>
      <c r="G4" s="25" t="inlineStr">
        <is>
          <t>Partial</t>
        </is>
      </c>
      <c r="H4" s="26" t="inlineStr">
        <is>
          <t>Medium</t>
        </is>
      </c>
      <c r="I4" s="18" t="inlineStr">
        <is>
          <t>Add explicit disclosure message at start of every chatbot session: 'You are chatting with an AI assistant. [Company] AI — powered by artificial intelligence.'</t>
        </is>
      </c>
      <c r="J4" s="24" t="inlineStr">
        <is>
          <t>2026-08-01</t>
        </is>
      </c>
    </row>
    <row r="5" ht="75" customHeight="1">
      <c r="A5" s="23" t="inlineStr">
        <is>
          <t>AI-001</t>
        </is>
      </c>
      <c r="B5" s="27" t="inlineStr">
        <is>
          <t>Art.50.4</t>
        </is>
      </c>
      <c r="C5" s="21" t="inlineStr">
        <is>
          <t>Transparency — AI-Generated Content</t>
        </is>
      </c>
      <c r="D5" s="21" t="inlineStr">
        <is>
          <t>AI systems that generate synthetic content (text, images, audio) must mark outputs as AI-generated.</t>
        </is>
      </c>
      <c r="E5" s="21" t="inlineStr">
        <is>
          <t>No AI-generated content watermarking or labelling in place.</t>
        </is>
      </c>
      <c r="F5" s="21" t="inlineStr">
        <is>
          <t>If chatbot generates documents, summaries, or content shared externally, these must be marked as AI-generated. No mechanism exists.</t>
        </is>
      </c>
      <c r="G5" s="28" t="inlineStr">
        <is>
          <t>Non-Compliant</t>
        </is>
      </c>
      <c r="H5" s="26" t="inlineStr">
        <is>
          <t>Medium</t>
        </is>
      </c>
      <c r="I5" s="21" t="inlineStr">
        <is>
          <t>Implement AI-generated content disclosure for any outputs shared outside the chat interface. Review if watermarking technically feasible.</t>
        </is>
      </c>
      <c r="J5" s="27" t="inlineStr">
        <is>
          <t>2026-09-01</t>
        </is>
      </c>
    </row>
    <row r="6" ht="75" customHeight="1">
      <c r="A6" s="29" t="inlineStr">
        <is>
          <t>AI-002</t>
        </is>
      </c>
      <c r="B6" s="24" t="inlineStr">
        <is>
          <t>Art.9</t>
        </is>
      </c>
      <c r="C6" s="18" t="inlineStr">
        <is>
          <t>Risk Management System</t>
        </is>
      </c>
      <c r="D6" s="18" t="inlineStr">
        <is>
          <t>High-risk AI systems must have a continuous risk management system covering identification, analysis, estimation, evaluation, and management of risks throughout the lifecycle.</t>
        </is>
      </c>
      <c r="E6" s="18" t="inlineStr">
        <is>
          <t>No formal AI risk management system in place. General IT risk management exists but does not cover AI-specific risks.</t>
        </is>
      </c>
      <c r="F6" s="18" t="inlineStr">
        <is>
          <t>Fundamental gap. No AI risk management system for HR Screening AI. Lifecycle risk assessment never conducted.</t>
        </is>
      </c>
      <c r="G6" s="28" t="inlineStr">
        <is>
          <t>Non-Compliant</t>
        </is>
      </c>
      <c r="H6" s="28" t="inlineStr">
        <is>
          <t>Critical</t>
        </is>
      </c>
      <c r="I6" s="18" t="inlineStr">
        <is>
          <t>Establish AI risk management system for AI-002. Document risk identification, analysis, and treatment for all lifecycle phases. Review at minimum annually and on significant changes.</t>
        </is>
      </c>
      <c r="J6" s="24" t="inlineStr">
        <is>
          <t>2026-08-01</t>
        </is>
      </c>
    </row>
    <row r="7" ht="75" customHeight="1">
      <c r="A7" s="29" t="inlineStr">
        <is>
          <t>AI-002</t>
        </is>
      </c>
      <c r="B7" s="27" t="inlineStr">
        <is>
          <t>Art.10</t>
        </is>
      </c>
      <c r="C7" s="21" t="inlineStr">
        <is>
          <t>Training Data Governance</t>
        </is>
      </c>
      <c r="D7" s="21" t="inlineStr">
        <is>
          <t>Training data must be subject to data governance practices. Data must be relevant, representative, free of errors, and complete. Bias must be addressed.</t>
        </is>
      </c>
      <c r="E7" s="21" t="inlineStr">
        <is>
          <t>Training data sourced from historical hiring decisions 2018–2023. No data governance documentation. No bias analysis of training data.</t>
        </is>
      </c>
      <c r="F7" s="21" t="inlineStr">
        <is>
          <t>Historical hiring data may encode past biases. No documentation of data sources, preprocessing, or bias mitigation. Direct non-compliance with Art.10.</t>
        </is>
      </c>
      <c r="G7" s="28" t="inlineStr">
        <is>
          <t>Non-Compliant</t>
        </is>
      </c>
      <c r="H7" s="28" t="inlineStr">
        <is>
          <t>Critical</t>
        </is>
      </c>
      <c r="I7" s="21" t="inlineStr">
        <is>
          <t>Document all training data sources. Conduct bias analysis across protected characteristics. Implement data governance process for future training data. Consider retraining with bias-corrected dataset.</t>
        </is>
      </c>
      <c r="J7" s="27" t="inlineStr">
        <is>
          <t>2026-07-01</t>
        </is>
      </c>
    </row>
    <row r="8" ht="75" customHeight="1">
      <c r="A8" s="29" t="inlineStr">
        <is>
          <t>AI-002</t>
        </is>
      </c>
      <c r="B8" s="24" t="inlineStr">
        <is>
          <t>Art.11</t>
        </is>
      </c>
      <c r="C8" s="18" t="inlineStr">
        <is>
          <t>Technical Documentation</t>
        </is>
      </c>
      <c r="D8" s="18" t="inlineStr">
        <is>
          <t>Providers must draw up technical documentation before placing High-Risk AI on market. Must include system description, design specs, training methodology, performance metrics, and limitations.</t>
        </is>
      </c>
      <c r="E8" s="18" t="inlineStr">
        <is>
          <t>No standardised technical documentation or model card exists for HR Screening AI.</t>
        </is>
      </c>
      <c r="F8" s="18" t="inlineStr">
        <is>
          <t>Critical gap. Art.11 and Annex IV specify detailed documentation requirements. None exist for AI-002.</t>
        </is>
      </c>
      <c r="G8" s="28" t="inlineStr">
        <is>
          <t>Non-Compliant</t>
        </is>
      </c>
      <c r="H8" s="28" t="inlineStr">
        <is>
          <t>Critical</t>
        </is>
      </c>
      <c r="I8" s="18" t="inlineStr">
        <is>
          <t>Create technical documentation per Annex IV requirements. Include: general description, design specifications, training data description, validation and testing procedures, performance metrics, known limitations.</t>
        </is>
      </c>
      <c r="J8" s="24" t="inlineStr">
        <is>
          <t>2026-07-15</t>
        </is>
      </c>
    </row>
    <row r="9" ht="75" customHeight="1">
      <c r="A9" s="29" t="inlineStr">
        <is>
          <t>AI-002</t>
        </is>
      </c>
      <c r="B9" s="27" t="inlineStr">
        <is>
          <t>Art.12</t>
        </is>
      </c>
      <c r="C9" s="21" t="inlineStr">
        <is>
          <t>Record-Keeping &amp; Logging</t>
        </is>
      </c>
      <c r="D9" s="21" t="inlineStr">
        <is>
          <t>High-risk AI systems must be designed to automatically log events throughout their lifetime — including inputs, outputs, and decisions that contribute to outcomes.</t>
        </is>
      </c>
      <c r="E9" s="21" t="inlineStr">
        <is>
          <t>No automated logging of AI inputs (CV data), model outputs (scores), or decision rationale.</t>
        </is>
      </c>
      <c r="F9" s="21" t="inlineStr">
        <is>
          <t>No audit trail exists for AI screening decisions. Impossible to investigate complaints or demonstrate compliance without logs.</t>
        </is>
      </c>
      <c r="G9" s="28" t="inlineStr">
        <is>
          <t>Non-Compliant</t>
        </is>
      </c>
      <c r="H9" s="28" t="inlineStr">
        <is>
          <t>Critical</t>
        </is>
      </c>
      <c r="I9" s="21" t="inlineStr">
        <is>
          <t>Implement automated logging of all AI-002 inputs, outputs, and scoring decisions. Define log retention period (minimum 6 months per Art.12.1). Ensure logs are tamper-proof.</t>
        </is>
      </c>
      <c r="J9" s="27" t="inlineStr">
        <is>
          <t>2026-08-01</t>
        </is>
      </c>
    </row>
    <row r="10" ht="75" customHeight="1">
      <c r="A10" s="29" t="inlineStr">
        <is>
          <t>AI-002</t>
        </is>
      </c>
      <c r="B10" s="24" t="inlineStr">
        <is>
          <t>Art.13</t>
        </is>
      </c>
      <c r="C10" s="18" t="inlineStr">
        <is>
          <t>Transparency to Deployers</t>
        </is>
      </c>
      <c r="D10" s="18" t="inlineStr">
        <is>
          <t>High-risk AI systems must be sufficiently transparent to allow deployers to understand the system's capabilities and limitations and use it appropriately.</t>
        </is>
      </c>
      <c r="E10" s="18" t="inlineStr">
        <is>
          <t>HR department (deployer) has no formal documentation on how SmartHire works, its limitations, or how scores should be interpreted.</t>
        </is>
      </c>
      <c r="F10" s="18" t="inlineStr">
        <is>
          <t>HR staff are using AI scores without understanding model limitations, potential biases, or when to override. Transparency obligation not met.</t>
        </is>
      </c>
      <c r="G10" s="28" t="inlineStr">
        <is>
          <t>Non-Compliant</t>
        </is>
      </c>
      <c r="H10" s="30" t="inlineStr">
        <is>
          <t>High</t>
        </is>
      </c>
      <c r="I10" s="18" t="inlineStr">
        <is>
          <t>Produce user documentation for HR team covering: how AI scoring works, known limitations, bias risks, when/how to override, and regulatory context.</t>
        </is>
      </c>
      <c r="J10" s="24" t="inlineStr">
        <is>
          <t>2026-09-01</t>
        </is>
      </c>
    </row>
    <row r="11" ht="75" customHeight="1">
      <c r="A11" s="29" t="inlineStr">
        <is>
          <t>AI-002</t>
        </is>
      </c>
      <c r="B11" s="27" t="inlineStr">
        <is>
          <t>Art.14</t>
        </is>
      </c>
      <c r="C11" s="21" t="inlineStr">
        <is>
          <t>Human Oversight</t>
        </is>
      </c>
      <c r="D11" s="21" t="inlineStr">
        <is>
          <t>High-risk AI systems must be designed to allow natural persons to oversee, understand, intervene in, and override AI outputs. Deployers must assign oversight to competent individuals.</t>
        </is>
      </c>
      <c r="E11" s="21" t="inlineStr">
        <is>
          <t>Human review technically possible but no formal process, training, or accountability for human oversight of AI decisions.</t>
        </is>
      </c>
      <c r="F11" s="21" t="inlineStr">
        <is>
          <t>Human oversight is ad-hoc. No named oversight responsibility. No training for HR staff on AI limitations. No documented override procedure.</t>
        </is>
      </c>
      <c r="G11" s="28" t="inlineStr">
        <is>
          <t>Non-Compliant</t>
        </is>
      </c>
      <c r="H11" s="30" t="inlineStr">
        <is>
          <t>High</t>
        </is>
      </c>
      <c r="I11" s="21" t="inlineStr">
        <is>
          <t>Formalise human oversight: assign named oversight responsibility to HR Manager, document override procedure, provide mandatory AI literacy training to all HR staff involved in hiring.</t>
        </is>
      </c>
      <c r="J11" s="27" t="inlineStr">
        <is>
          <t>2026-09-15</t>
        </is>
      </c>
    </row>
    <row r="12" ht="75" customHeight="1">
      <c r="A12" s="29" t="inlineStr">
        <is>
          <t>AI-002</t>
        </is>
      </c>
      <c r="B12" s="24" t="inlineStr">
        <is>
          <t>Art.15</t>
        </is>
      </c>
      <c r="C12" s="18" t="inlineStr">
        <is>
          <t>Accuracy, Robustness &amp; Cybersecurity</t>
        </is>
      </c>
      <c r="D12" s="18" t="inlineStr">
        <is>
          <t>High-risk AI systems must achieve appropriate levels of accuracy, robustness, and cybersecurity. Must be resilient to errors, faults, and adversarial inputs.</t>
        </is>
      </c>
      <c r="E12" s="18" t="inlineStr">
        <is>
          <t>No formal accuracy benchmarking. No adversarial testing. No cybersecurity assessment specific to AI-002.</t>
        </is>
      </c>
      <c r="F12" s="18" t="inlineStr">
        <is>
          <t>No documented accuracy metrics. No testing against adversarial CVs or data poisoning scenarios. Cybersecurity gap.</t>
        </is>
      </c>
      <c r="G12" s="28" t="inlineStr">
        <is>
          <t>Non-Compliant</t>
        </is>
      </c>
      <c r="H12" s="30" t="inlineStr">
        <is>
          <t>High</t>
        </is>
      </c>
      <c r="I12" s="18" t="inlineStr">
        <is>
          <t>Establish accuracy benchmarks and test against defined metrics. Conduct adversarial robustness testing. Include AI-002 in cybersecurity threat model.</t>
        </is>
      </c>
      <c r="J12" s="24" t="inlineStr">
        <is>
          <t>2026-10-01</t>
        </is>
      </c>
    </row>
    <row r="13" ht="75" customHeight="1">
      <c r="A13" s="29" t="inlineStr">
        <is>
          <t>AI-002</t>
        </is>
      </c>
      <c r="B13" s="27" t="inlineStr">
        <is>
          <t>Art.43</t>
        </is>
      </c>
      <c r="C13" s="21" t="inlineStr">
        <is>
          <t>Conformity Assessment</t>
        </is>
      </c>
      <c r="D13" s="21" t="inlineStr">
        <is>
          <t>High-risk AI systems listed in Annex III must undergo conformity assessment before being placed on the market or put into service.</t>
        </is>
      </c>
      <c r="E13" s="21" t="inlineStr">
        <is>
          <t>No conformity assessment has been conducted for HR Screening AI.</t>
        </is>
      </c>
      <c r="F13" s="21" t="inlineStr">
        <is>
          <t>Critical regulatory gap. AI-002 cannot legally be used in the EU market without a conformity assessment. Deadline: August 2026.</t>
        </is>
      </c>
      <c r="G13" s="28" t="inlineStr">
        <is>
          <t>Non-Compliant</t>
        </is>
      </c>
      <c r="H13" s="28" t="inlineStr">
        <is>
          <t>Critical</t>
        </is>
      </c>
      <c r="I13" s="21" t="inlineStr">
        <is>
          <t>Conduct internal conformity assessment per Annex VI (self-assessment for Annex III systems not requiring notified body). Document all compliance evidence. Obtain sign-off from senior management.</t>
        </is>
      </c>
      <c r="J13" s="27" t="inlineStr">
        <is>
          <t>2026-07-31</t>
        </is>
      </c>
    </row>
    <row r="14" ht="75" customHeight="1">
      <c r="A14" s="29" t="inlineStr">
        <is>
          <t>AI-002</t>
        </is>
      </c>
      <c r="B14" s="24" t="inlineStr">
        <is>
          <t>Art.49</t>
        </is>
      </c>
      <c r="C14" s="18" t="inlineStr">
        <is>
          <t>Declaration of Conformity</t>
        </is>
      </c>
      <c r="D14" s="18" t="inlineStr">
        <is>
          <t>Providers must draw up an EU declaration of conformity for High-Risk AI systems, confirming compliance with all applicable requirements.</t>
        </is>
      </c>
      <c r="E14" s="18" t="inlineStr">
        <is>
          <t>No declaration of conformity exists.</t>
        </is>
      </c>
      <c r="F14" s="18" t="inlineStr">
        <is>
          <t>Cannot be completed until conformity assessment (Art.43) is complete. Dependent on resolving all other gaps.</t>
        </is>
      </c>
      <c r="G14" s="28" t="inlineStr">
        <is>
          <t>Non-Compliant</t>
        </is>
      </c>
      <c r="H14" s="28" t="inlineStr">
        <is>
          <t>Critical</t>
        </is>
      </c>
      <c r="I14" s="18" t="inlineStr">
        <is>
          <t>Draw up declaration of conformity after completing conformity assessment. Must reference all applicable EU AI Act requirements and be signed by authorised representative.</t>
        </is>
      </c>
      <c r="J14" s="24" t="inlineStr">
        <is>
          <t>2026-08-10</t>
        </is>
      </c>
    </row>
    <row r="15" ht="75" customHeight="1">
      <c r="A15" s="29" t="inlineStr">
        <is>
          <t>AI-002</t>
        </is>
      </c>
      <c r="B15" s="27" t="inlineStr">
        <is>
          <t>Art.71</t>
        </is>
      </c>
      <c r="C15" s="21" t="inlineStr">
        <is>
          <t>EU Database Registration</t>
        </is>
      </c>
      <c r="D15" s="21" t="inlineStr">
        <is>
          <t>Providers of High-Risk AI systems listed in Annex III must register their systems in the EU AI Act public database before deployment.</t>
        </is>
      </c>
      <c r="E15" s="21" t="inlineStr">
        <is>
          <t>AI-002 not registered in EU database.</t>
        </is>
      </c>
      <c r="F15" s="21" t="inlineStr">
        <is>
          <t>Registration is mandatory before market placement. Unregistered deployment is a direct regulatory violation.</t>
        </is>
      </c>
      <c r="G15" s="28" t="inlineStr">
        <is>
          <t>Non-Compliant</t>
        </is>
      </c>
      <c r="H15" s="28" t="inlineStr">
        <is>
          <t>Critical</t>
        </is>
      </c>
      <c r="I15" s="21" t="inlineStr">
        <is>
          <t>Register AI-002 in EU AI public database (eidas.ec.europa.eu) upon completion of conformity assessment. Maintain registration up to date.</t>
        </is>
      </c>
      <c r="J15" s="27" t="inlineStr">
        <is>
          <t>2026-08-15</t>
        </is>
      </c>
    </row>
    <row r="16" ht="75" customHeight="1">
      <c r="A16" s="29" t="inlineStr">
        <is>
          <t>AI-002</t>
        </is>
      </c>
      <c r="B16" s="24" t="inlineStr">
        <is>
          <t>Art.26</t>
        </is>
      </c>
      <c r="C16" s="18" t="inlineStr">
        <is>
          <t>Deployer Obligations</t>
        </is>
      </c>
      <c r="D16" s="18" t="inlineStr">
        <is>
          <t>Deployers of High-Risk AI must use systems in accordance with instructions, assign human oversight, conduct DPIA where required, and maintain logs.</t>
        </is>
      </c>
      <c r="E16" s="18" t="inlineStr">
        <is>
          <t>TechCorp (as deployer) has not conducted a DPIA for AI-002. No deployer compliance programme in place.</t>
        </is>
      </c>
      <c r="F16" s="18" t="inlineStr">
        <is>
          <t>Deployer obligations distinct from provider obligations — TechCorp must meet both as it both develops and deploys AI-002.</t>
        </is>
      </c>
      <c r="G16" s="28" t="inlineStr">
        <is>
          <t>Non-Compliant</t>
        </is>
      </c>
      <c r="H16" s="30" t="inlineStr">
        <is>
          <t>High</t>
        </is>
      </c>
      <c r="I16" s="18" t="inlineStr">
        <is>
          <t>Conduct DPIA for AI-002 per GDPR Art.35 (high-risk AI processing personal data triggers DPIA requirement). Document deployer compliance activities.</t>
        </is>
      </c>
      <c r="J16" s="24" t="inlineStr">
        <is>
          <t>2026-09-01</t>
        </is>
      </c>
    </row>
    <row r="17" ht="75" customHeight="1">
      <c r="A17" s="31" t="inlineStr">
        <is>
          <t>AI-003</t>
        </is>
      </c>
      <c r="B17" s="27" t="inlineStr">
        <is>
          <t>Art.9</t>
        </is>
      </c>
      <c r="C17" s="21" t="inlineStr">
        <is>
          <t>Risk Management System</t>
        </is>
      </c>
      <c r="D17" s="21" t="inlineStr">
        <is>
          <t>Continuous risk management system required throughout High-Risk AI lifecycle.</t>
        </is>
      </c>
      <c r="E17" s="21" t="inlineStr">
        <is>
          <t>No AI-specific risk management system. General fraud model monitoring in place but not structured per Art.9.</t>
        </is>
      </c>
      <c r="F17" s="21" t="inlineStr">
        <is>
          <t>Existing monitoring is operational, not compliance-oriented. No lifecycle risk documentation.</t>
        </is>
      </c>
      <c r="G17" s="25" t="inlineStr">
        <is>
          <t>Partial</t>
        </is>
      </c>
      <c r="H17" s="30" t="inlineStr">
        <is>
          <t>High</t>
        </is>
      </c>
      <c r="I17" s="21" t="inlineStr">
        <is>
          <t>Extend existing monitoring to include Art.9-compliant risk management documentation. Map existing controls to Art.9 requirements. Identify and fill gaps.</t>
        </is>
      </c>
      <c r="J17" s="27" t="inlineStr">
        <is>
          <t>2026-09-01</t>
        </is>
      </c>
    </row>
    <row r="18" ht="75" customHeight="1">
      <c r="A18" s="31" t="inlineStr">
        <is>
          <t>AI-003</t>
        </is>
      </c>
      <c r="B18" s="24" t="inlineStr">
        <is>
          <t>Art.10</t>
        </is>
      </c>
      <c r="C18" s="18" t="inlineStr">
        <is>
          <t>Training Data Governance</t>
        </is>
      </c>
      <c r="D18" s="18" t="inlineStr">
        <is>
          <t>Training data must be governed, representative, and bias-mitigated.</t>
        </is>
      </c>
      <c r="E18" s="18" t="inlineStr">
        <is>
          <t>Transaction data used for training is documented. Some data quality checks in place. No bias analysis for demographic groups.</t>
        </is>
      </c>
      <c r="F18" s="18" t="inlineStr">
        <is>
          <t>Data documentation partially exists. Bias analysis across demographic groups (age, geography, protected characteristics) not conducted.</t>
        </is>
      </c>
      <c r="G18" s="25" t="inlineStr">
        <is>
          <t>Partial</t>
        </is>
      </c>
      <c r="H18" s="30" t="inlineStr">
        <is>
          <t>High</t>
        </is>
      </c>
      <c r="I18" s="18" t="inlineStr">
        <is>
          <t>Conduct demographic bias analysis on fraud model outputs. Document training data governance. Ensure data representativeness across customer segments.</t>
        </is>
      </c>
      <c r="J18" s="24" t="inlineStr">
        <is>
          <t>2026-09-15</t>
        </is>
      </c>
    </row>
    <row r="19" ht="75" customHeight="1">
      <c r="A19" s="31" t="inlineStr">
        <is>
          <t>AI-003</t>
        </is>
      </c>
      <c r="B19" s="27" t="inlineStr">
        <is>
          <t>Art.11</t>
        </is>
      </c>
      <c r="C19" s="21" t="inlineStr">
        <is>
          <t>Technical Documentation</t>
        </is>
      </c>
      <c r="D19" s="21" t="inlineStr">
        <is>
          <t>Full technical documentation per Annex IV required.</t>
        </is>
      </c>
      <c r="E19" s="21" t="inlineStr">
        <is>
          <t>Internal model documentation exists covering architecture and performance metrics. Not structured per Annex IV.</t>
        </is>
      </c>
      <c r="F19" s="21" t="inlineStr">
        <is>
          <t>Documentation exists but not Annex IV compliant. Missing: general system description per Art.11, known limitations section, intended purpose statement.</t>
        </is>
      </c>
      <c r="G19" s="25" t="inlineStr">
        <is>
          <t>Partial</t>
        </is>
      </c>
      <c r="H19" s="30" t="inlineStr">
        <is>
          <t>High</t>
        </is>
      </c>
      <c r="I19" s="21" t="inlineStr">
        <is>
          <t>Restructure existing documentation to comply with Annex IV. Add missing sections: general description, intended purpose, limitations, human oversight measures.</t>
        </is>
      </c>
      <c r="J19" s="27" t="inlineStr">
        <is>
          <t>2026-09-01</t>
        </is>
      </c>
    </row>
    <row r="20" ht="75" customHeight="1">
      <c r="A20" s="31" t="inlineStr">
        <is>
          <t>AI-003</t>
        </is>
      </c>
      <c r="B20" s="24" t="inlineStr">
        <is>
          <t>Art.12</t>
        </is>
      </c>
      <c r="C20" s="18" t="inlineStr">
        <is>
          <t>Record-Keeping &amp; Logging</t>
        </is>
      </c>
      <c r="D20" s="18" t="inlineStr">
        <is>
          <t>Automated logging of inputs, outputs, and decisions throughout lifetime.</t>
        </is>
      </c>
      <c r="E20" s="18" t="inlineStr">
        <is>
          <t>Transaction inputs and model outputs logged for operational purposes. Retention period 90 days.</t>
        </is>
      </c>
      <c r="F20" s="18" t="inlineStr">
        <is>
          <t>Logging exists but retention period may be insufficient. Art.12.1 requires logs kept for minimum period — for financial services, sector-specific rules may require longer retention.</t>
        </is>
      </c>
      <c r="G20" s="25" t="inlineStr">
        <is>
          <t>Partial</t>
        </is>
      </c>
      <c r="H20" s="26" t="inlineStr">
        <is>
          <t>Medium</t>
        </is>
      </c>
      <c r="I20" s="18" t="inlineStr">
        <is>
          <t>Review log retention period against EU AI Act and financial services sector requirements. Extend retention if needed. Ensure logs cover all required data points.</t>
        </is>
      </c>
      <c r="J20" s="24" t="inlineStr">
        <is>
          <t>2026-09-01</t>
        </is>
      </c>
    </row>
    <row r="21" ht="75" customHeight="1">
      <c r="A21" s="31" t="inlineStr">
        <is>
          <t>AI-003</t>
        </is>
      </c>
      <c r="B21" s="27" t="inlineStr">
        <is>
          <t>Art.13</t>
        </is>
      </c>
      <c r="C21" s="21" t="inlineStr">
        <is>
          <t>Transparency to Deployers</t>
        </is>
      </c>
      <c r="D21" s="21" t="inlineStr">
        <is>
          <t>Sufficient transparency documentation for deployers to understand and use system appropriately.</t>
        </is>
      </c>
      <c r="E21" s="21" t="inlineStr">
        <is>
          <t>Fraud team has internal documentation on model use. No formal transparency documentation per Art.13.</t>
        </is>
      </c>
      <c r="F21" s="21" t="inlineStr">
        <is>
          <t>Operational documentation exists but not formatted as Art.13 transparency information. Instructions for use not formalised.</t>
        </is>
      </c>
      <c r="G21" s="25" t="inlineStr">
        <is>
          <t>Partial</t>
        </is>
      </c>
      <c r="H21" s="26" t="inlineStr">
        <is>
          <t>Medium</t>
        </is>
      </c>
      <c r="I21" s="21" t="inlineStr">
        <is>
          <t>Formalise instructions for use per Art.13.3 requirements. Include: intended purpose, performance metrics, human oversight measures, known limitations.</t>
        </is>
      </c>
      <c r="J21" s="27" t="inlineStr">
        <is>
          <t>2026-10-01</t>
        </is>
      </c>
    </row>
    <row r="22" ht="75" customHeight="1">
      <c r="A22" s="31" t="inlineStr">
        <is>
          <t>AI-003</t>
        </is>
      </c>
      <c r="B22" s="24" t="inlineStr">
        <is>
          <t>Art.14</t>
        </is>
      </c>
      <c r="C22" s="18" t="inlineStr">
        <is>
          <t>Human Oversight</t>
        </is>
      </c>
      <c r="D22" s="18" t="inlineStr">
        <is>
          <t>Natural persons must be able to oversee, understand, and override AI outputs.</t>
        </is>
      </c>
      <c r="E22" s="18" t="inlineStr">
        <is>
          <t>Fraud analysts review flagged transactions before any customer action. Override possible. No formal training on AI limitations.</t>
        </is>
      </c>
      <c r="F22" s="18" t="inlineStr">
        <is>
          <t>Human oversight process exists and is effective. Gap: no formal training on AI-specific limitations for fraud analysts.</t>
        </is>
      </c>
      <c r="G22" s="25" t="inlineStr">
        <is>
          <t>Partial</t>
        </is>
      </c>
      <c r="H22" s="26" t="inlineStr">
        <is>
          <t>Medium</t>
        </is>
      </c>
      <c r="I22" s="18" t="inlineStr">
        <is>
          <t>Provide formal AI literacy training to fraud analysts. Document oversight process and override procedure formally.</t>
        </is>
      </c>
      <c r="J22" s="24" t="inlineStr">
        <is>
          <t>2026-10-15</t>
        </is>
      </c>
    </row>
    <row r="23" ht="75" customHeight="1">
      <c r="A23" s="31" t="inlineStr">
        <is>
          <t>AI-003</t>
        </is>
      </c>
      <c r="B23" s="27" t="inlineStr">
        <is>
          <t>Art.15</t>
        </is>
      </c>
      <c r="C23" s="21" t="inlineStr">
        <is>
          <t>Accuracy, Robustness &amp; Cybersecurity</t>
        </is>
      </c>
      <c r="D23" s="21" t="inlineStr">
        <is>
          <t>Appropriate accuracy levels, resilience to adversarial inputs, cybersecurity protection.</t>
        </is>
      </c>
      <c r="E23" s="21" t="inlineStr">
        <is>
          <t>Model accuracy metrics tracked (precision, recall, F1). No adversarial robustness testing. Cybersecurity covered by general IS programme.</t>
        </is>
      </c>
      <c r="F23" s="21" t="inlineStr">
        <is>
          <t>Accuracy metrics are a strength. Adversarial testing gap. Cybersecurity assessment not AI-specific.</t>
        </is>
      </c>
      <c r="G23" s="25" t="inlineStr">
        <is>
          <t>Partial</t>
        </is>
      </c>
      <c r="H23" s="26" t="inlineStr">
        <is>
          <t>Medium</t>
        </is>
      </c>
      <c r="I23" s="21" t="inlineStr">
        <is>
          <t>Conduct adversarial robustness testing for fraud model. Include AI-003 specifically in cybersecurity threat model.</t>
        </is>
      </c>
      <c r="J23" s="27" t="inlineStr">
        <is>
          <t>2026-10-31</t>
        </is>
      </c>
    </row>
    <row r="24" ht="75" customHeight="1">
      <c r="A24" s="31" t="inlineStr">
        <is>
          <t>AI-003</t>
        </is>
      </c>
      <c r="B24" s="24" t="inlineStr">
        <is>
          <t>Art.43</t>
        </is>
      </c>
      <c r="C24" s="18" t="inlineStr">
        <is>
          <t>Conformity Assessment</t>
        </is>
      </c>
      <c r="D24" s="18" t="inlineStr">
        <is>
          <t>Conformity assessment required before market placement.</t>
        </is>
      </c>
      <c r="E24" s="18" t="inlineStr">
        <is>
          <t>No conformity assessment conducted.</t>
        </is>
      </c>
      <c r="F24" s="18" t="inlineStr">
        <is>
          <t>Same gap as AI-002. Must be completed before August 2026 deadline.</t>
        </is>
      </c>
      <c r="G24" s="28" t="inlineStr">
        <is>
          <t>Non-Compliant</t>
        </is>
      </c>
      <c r="H24" s="28" t="inlineStr">
        <is>
          <t>Critical</t>
        </is>
      </c>
      <c r="I24" s="18" t="inlineStr">
        <is>
          <t>Conduct internal conformity assessment per Annex VI. Document all compliance evidence across Art.9-15 obligations.</t>
        </is>
      </c>
      <c r="J24" s="24" t="inlineStr">
        <is>
          <t>2026-07-31</t>
        </is>
      </c>
    </row>
    <row r="25" ht="75" customHeight="1">
      <c r="A25" s="31" t="inlineStr">
        <is>
          <t>AI-003</t>
        </is>
      </c>
      <c r="B25" s="27" t="inlineStr">
        <is>
          <t>Art.49</t>
        </is>
      </c>
      <c r="C25" s="21" t="inlineStr">
        <is>
          <t>Declaration of Conformity</t>
        </is>
      </c>
      <c r="D25" s="21" t="inlineStr">
        <is>
          <t>EU declaration of conformity required.</t>
        </is>
      </c>
      <c r="E25" s="21" t="inlineStr">
        <is>
          <t>None exists.</t>
        </is>
      </c>
      <c r="F25" s="21" t="inlineStr">
        <is>
          <t>Dependent on completing conformity assessment.</t>
        </is>
      </c>
      <c r="G25" s="28" t="inlineStr">
        <is>
          <t>Non-Compliant</t>
        </is>
      </c>
      <c r="H25" s="28" t="inlineStr">
        <is>
          <t>Critical</t>
        </is>
      </c>
      <c r="I25" s="21" t="inlineStr">
        <is>
          <t>Draw up declaration of conformity after conformity assessment complete.</t>
        </is>
      </c>
      <c r="J25" s="27" t="inlineStr">
        <is>
          <t>2026-08-10</t>
        </is>
      </c>
    </row>
    <row r="26" ht="75" customHeight="1">
      <c r="A26" s="31" t="inlineStr">
        <is>
          <t>AI-003</t>
        </is>
      </c>
      <c r="B26" s="24" t="inlineStr">
        <is>
          <t>Art.71</t>
        </is>
      </c>
      <c r="C26" s="18" t="inlineStr">
        <is>
          <t>EU Database Registration</t>
        </is>
      </c>
      <c r="D26" s="18" t="inlineStr">
        <is>
          <t>Registration in EU AI database required before deployment.</t>
        </is>
      </c>
      <c r="E26" s="18" t="inlineStr">
        <is>
          <t>Not registered.</t>
        </is>
      </c>
      <c r="F26" s="18" t="inlineStr">
        <is>
          <t>Must be completed before August 2026 deadline.</t>
        </is>
      </c>
      <c r="G26" s="28" t="inlineStr">
        <is>
          <t>Non-Compliant</t>
        </is>
      </c>
      <c r="H26" s="28" t="inlineStr">
        <is>
          <t>Critical</t>
        </is>
      </c>
      <c r="I26" s="18" t="inlineStr">
        <is>
          <t>Register AI-003 in EU AI public database upon completion of conformity assessment.</t>
        </is>
      </c>
      <c r="J26" s="24" t="inlineStr">
        <is>
          <t>2026-08-15</t>
        </is>
      </c>
    </row>
  </sheetData>
  <autoFilter ref="A3:J26"/>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30" customWidth="1" min="4" max="4"/>
    <col width="12" customWidth="1" min="5" max="5"/>
    <col width="12" customWidth="1" min="6" max="6"/>
    <col width="18" customWidth="1" min="7" max="7"/>
    <col width="16" customWidth="1" min="8" max="8"/>
  </cols>
  <sheetData>
    <row r="1" ht="36" customHeight="1">
      <c r="A1" s="9" t="inlineStr">
        <is>
          <t>EU AI Act — Compliance Remediation Roadmap</t>
        </is>
      </c>
    </row>
    <row r="2" ht="18" customHeight="1">
      <c r="A2" s="10" t="inlineStr">
        <is>
          <t>Priority actions to achieve compliance before August 2026 enforcement deadline</t>
        </is>
      </c>
    </row>
    <row r="3" ht="32" customHeight="1">
      <c r="A3" s="15" t="inlineStr">
        <is>
          <t>System</t>
        </is>
      </c>
      <c r="B3" s="15" t="inlineStr">
        <is>
          <t>Article</t>
        </is>
      </c>
      <c r="C3" s="15" t="inlineStr">
        <is>
          <t>Action</t>
        </is>
      </c>
      <c r="D3" s="15" t="inlineStr">
        <is>
          <t>Detail</t>
        </is>
      </c>
      <c r="E3" s="15" t="inlineStr">
        <is>
          <t>Priority</t>
        </is>
      </c>
      <c r="F3" s="15" t="inlineStr">
        <is>
          <t>Effort</t>
        </is>
      </c>
      <c r="G3" s="15" t="inlineStr">
        <is>
          <t>Owner</t>
        </is>
      </c>
      <c r="H3" s="15" t="inlineStr">
        <is>
          <t>Target</t>
        </is>
      </c>
    </row>
    <row r="4" ht="44" customHeight="1">
      <c r="A4" s="29" t="inlineStr">
        <is>
          <t>AI-002</t>
        </is>
      </c>
      <c r="B4" s="24" t="inlineStr">
        <is>
          <t>Art.10</t>
        </is>
      </c>
      <c r="C4" s="18" t="inlineStr">
        <is>
          <t>Conduct training data bias analysis</t>
        </is>
      </c>
      <c r="D4" s="18" t="inlineStr">
        <is>
          <t>Analyse historical hiring data for bias across all protected characteristics. Document findings and remediation.</t>
        </is>
      </c>
      <c r="E4" s="29" t="inlineStr">
        <is>
          <t>Critical</t>
        </is>
      </c>
      <c r="F4" s="24" t="inlineStr">
        <is>
          <t>High</t>
        </is>
      </c>
      <c r="G4" s="18" t="inlineStr">
        <is>
          <t>AI Engineering / GRC</t>
        </is>
      </c>
      <c r="H4" s="24" t="inlineStr">
        <is>
          <t>2026-07-01</t>
        </is>
      </c>
    </row>
    <row r="5" ht="44" customHeight="1">
      <c r="A5" s="29" t="inlineStr">
        <is>
          <t>AI-002</t>
        </is>
      </c>
      <c r="B5" s="27" t="inlineStr">
        <is>
          <t>Art.11</t>
        </is>
      </c>
      <c r="C5" s="21" t="inlineStr">
        <is>
          <t>Create Annex IV technical documentation</t>
        </is>
      </c>
      <c r="D5" s="21" t="inlineStr">
        <is>
          <t>Document system architecture, training methodology, performance metrics, limitations per Annex IV.</t>
        </is>
      </c>
      <c r="E5" s="29" t="inlineStr">
        <is>
          <t>Critical</t>
        </is>
      </c>
      <c r="F5" s="27" t="inlineStr">
        <is>
          <t>High</t>
        </is>
      </c>
      <c r="G5" s="21" t="inlineStr">
        <is>
          <t>AI Engineering</t>
        </is>
      </c>
      <c r="H5" s="27" t="inlineStr">
        <is>
          <t>2026-07-15</t>
        </is>
      </c>
    </row>
    <row r="6" ht="44" customHeight="1">
      <c r="A6" s="29" t="inlineStr">
        <is>
          <t>AI-002</t>
        </is>
      </c>
      <c r="B6" s="24" t="inlineStr">
        <is>
          <t>Art.9</t>
        </is>
      </c>
      <c r="C6" s="18" t="inlineStr">
        <is>
          <t>Establish AI risk management system</t>
        </is>
      </c>
      <c r="D6" s="18" t="inlineStr">
        <is>
          <t>Document lifecycle risk assessment, risk treatment, and ongoing monitoring process.</t>
        </is>
      </c>
      <c r="E6" s="29" t="inlineStr">
        <is>
          <t>Critical</t>
        </is>
      </c>
      <c r="F6" s="24" t="inlineStr">
        <is>
          <t>Medium</t>
        </is>
      </c>
      <c r="G6" s="18" t="inlineStr">
        <is>
          <t>GRC Lead</t>
        </is>
      </c>
      <c r="H6" s="24" t="inlineStr">
        <is>
          <t>2026-08-01</t>
        </is>
      </c>
    </row>
    <row r="7" ht="44" customHeight="1">
      <c r="A7" s="29" t="inlineStr">
        <is>
          <t>AI-002</t>
        </is>
      </c>
      <c r="B7" s="27" t="inlineStr">
        <is>
          <t>Art.12</t>
        </is>
      </c>
      <c r="C7" s="21" t="inlineStr">
        <is>
          <t>Implement automated logging</t>
        </is>
      </c>
      <c r="D7" s="21" t="inlineStr">
        <is>
          <t>Log all inputs, outputs, and scoring decisions. Define retention period.</t>
        </is>
      </c>
      <c r="E7" s="29" t="inlineStr">
        <is>
          <t>Critical</t>
        </is>
      </c>
      <c r="F7" s="27" t="inlineStr">
        <is>
          <t>High</t>
        </is>
      </c>
      <c r="G7" s="21" t="inlineStr">
        <is>
          <t>IT Engineering</t>
        </is>
      </c>
      <c r="H7" s="27" t="inlineStr">
        <is>
          <t>2026-08-01</t>
        </is>
      </c>
    </row>
    <row r="8" ht="44" customHeight="1">
      <c r="A8" s="29" t="inlineStr">
        <is>
          <t>AI-002</t>
        </is>
      </c>
      <c r="B8" s="24" t="inlineStr">
        <is>
          <t>Art.43</t>
        </is>
      </c>
      <c r="C8" s="18" t="inlineStr">
        <is>
          <t>Complete conformity assessment</t>
        </is>
      </c>
      <c r="D8" s="18" t="inlineStr">
        <is>
          <t>Conduct internal conformity assessment per Annex VI. Document all compliance evidence.</t>
        </is>
      </c>
      <c r="E8" s="29" t="inlineStr">
        <is>
          <t>Critical</t>
        </is>
      </c>
      <c r="F8" s="24" t="inlineStr">
        <is>
          <t>High</t>
        </is>
      </c>
      <c r="G8" s="18" t="inlineStr">
        <is>
          <t>GRC / Legal</t>
        </is>
      </c>
      <c r="H8" s="24" t="inlineStr">
        <is>
          <t>2026-07-31</t>
        </is>
      </c>
    </row>
    <row r="9" ht="44" customHeight="1">
      <c r="A9" s="31" t="inlineStr">
        <is>
          <t>AI-003</t>
        </is>
      </c>
      <c r="B9" s="27" t="inlineStr">
        <is>
          <t>Art.43</t>
        </is>
      </c>
      <c r="C9" s="21" t="inlineStr">
        <is>
          <t>Complete conformity assessment</t>
        </is>
      </c>
      <c r="D9" s="21" t="inlineStr">
        <is>
          <t>Same as AI-002. Prioritise alongside AI-002.</t>
        </is>
      </c>
      <c r="E9" s="29" t="inlineStr">
        <is>
          <t>Critical</t>
        </is>
      </c>
      <c r="F9" s="27" t="inlineStr">
        <is>
          <t>High</t>
        </is>
      </c>
      <c r="G9" s="21" t="inlineStr">
        <is>
          <t>GRC / Legal</t>
        </is>
      </c>
      <c r="H9" s="27" t="inlineStr">
        <is>
          <t>2026-07-31</t>
        </is>
      </c>
    </row>
    <row r="10" ht="44" customHeight="1">
      <c r="A10" s="29" t="inlineStr">
        <is>
          <t>AI-002</t>
        </is>
      </c>
      <c r="B10" s="24" t="inlineStr">
        <is>
          <t>Art.49</t>
        </is>
      </c>
      <c r="C10" s="18" t="inlineStr">
        <is>
          <t>Issue Declaration of Conformity</t>
        </is>
      </c>
      <c r="D10" s="18" t="inlineStr">
        <is>
          <t>Draw up and sign declaration after conformity assessment complete.</t>
        </is>
      </c>
      <c r="E10" s="29" t="inlineStr">
        <is>
          <t>Critical</t>
        </is>
      </c>
      <c r="F10" s="24" t="inlineStr">
        <is>
          <t>Low</t>
        </is>
      </c>
      <c r="G10" s="18" t="inlineStr">
        <is>
          <t>CISO / Legal</t>
        </is>
      </c>
      <c r="H10" s="24" t="inlineStr">
        <is>
          <t>2026-08-10</t>
        </is>
      </c>
    </row>
    <row r="11" ht="44" customHeight="1">
      <c r="A11" s="31" t="inlineStr">
        <is>
          <t>AI-003</t>
        </is>
      </c>
      <c r="B11" s="27" t="inlineStr">
        <is>
          <t>Art.49</t>
        </is>
      </c>
      <c r="C11" s="21" t="inlineStr">
        <is>
          <t>Issue Declaration of Conformity</t>
        </is>
      </c>
      <c r="D11" s="21" t="inlineStr">
        <is>
          <t>Same as AI-002.</t>
        </is>
      </c>
      <c r="E11" s="29" t="inlineStr">
        <is>
          <t>Critical</t>
        </is>
      </c>
      <c r="F11" s="27" t="inlineStr">
        <is>
          <t>Low</t>
        </is>
      </c>
      <c r="G11" s="21" t="inlineStr">
        <is>
          <t>CISO / Legal</t>
        </is>
      </c>
      <c r="H11" s="27" t="inlineStr">
        <is>
          <t>2026-08-10</t>
        </is>
      </c>
    </row>
    <row r="12" ht="44" customHeight="1">
      <c r="A12" s="29" t="inlineStr">
        <is>
          <t>AI-002</t>
        </is>
      </c>
      <c r="B12" s="24" t="inlineStr">
        <is>
          <t>Art.71</t>
        </is>
      </c>
      <c r="C12" s="18" t="inlineStr">
        <is>
          <t>Register in EU AI database</t>
        </is>
      </c>
      <c r="D12" s="18" t="inlineStr">
        <is>
          <t>Register AI-002 on EU AI public database.</t>
        </is>
      </c>
      <c r="E12" s="29" t="inlineStr">
        <is>
          <t>Critical</t>
        </is>
      </c>
      <c r="F12" s="24" t="inlineStr">
        <is>
          <t>Low</t>
        </is>
      </c>
      <c r="G12" s="18" t="inlineStr">
        <is>
          <t>GRC</t>
        </is>
      </c>
      <c r="H12" s="24" t="inlineStr">
        <is>
          <t>2026-08-15</t>
        </is>
      </c>
    </row>
    <row r="13" ht="44" customHeight="1">
      <c r="A13" s="31" t="inlineStr">
        <is>
          <t>AI-003</t>
        </is>
      </c>
      <c r="B13" s="27" t="inlineStr">
        <is>
          <t>Art.71</t>
        </is>
      </c>
      <c r="C13" s="21" t="inlineStr">
        <is>
          <t>Register in EU AI database</t>
        </is>
      </c>
      <c r="D13" s="21" t="inlineStr">
        <is>
          <t>Register AI-003 on EU AI public database.</t>
        </is>
      </c>
      <c r="E13" s="29" t="inlineStr">
        <is>
          <t>Critical</t>
        </is>
      </c>
      <c r="F13" s="27" t="inlineStr">
        <is>
          <t>Low</t>
        </is>
      </c>
      <c r="G13" s="21" t="inlineStr">
        <is>
          <t>GRC</t>
        </is>
      </c>
      <c r="H13" s="27" t="inlineStr">
        <is>
          <t>2026-08-15</t>
        </is>
      </c>
    </row>
    <row r="14" ht="44" customHeight="1">
      <c r="A14" s="23" t="inlineStr">
        <is>
          <t>AI-001</t>
        </is>
      </c>
      <c r="B14" s="24" t="inlineStr">
        <is>
          <t>Art.50</t>
        </is>
      </c>
      <c r="C14" s="18" t="inlineStr">
        <is>
          <t>Improve AI disclosure</t>
        </is>
      </c>
      <c r="D14" s="18" t="inlineStr">
        <is>
          <t>Add explicit AI disclosure at start of every chatbot session.</t>
        </is>
      </c>
      <c r="E14" s="31" t="inlineStr">
        <is>
          <t>Medium</t>
        </is>
      </c>
      <c r="F14" s="24" t="inlineStr">
        <is>
          <t>Low</t>
        </is>
      </c>
      <c r="G14" s="18" t="inlineStr">
        <is>
          <t>Product / Engineering</t>
        </is>
      </c>
      <c r="H14" s="24" t="inlineStr">
        <is>
          <t>2026-08-01</t>
        </is>
      </c>
    </row>
    <row r="15" ht="44" customHeight="1">
      <c r="A15" s="29" t="inlineStr">
        <is>
          <t>AI-002</t>
        </is>
      </c>
      <c r="B15" s="27" t="inlineStr">
        <is>
          <t>Art.13</t>
        </is>
      </c>
      <c r="C15" s="21" t="inlineStr">
        <is>
          <t>Produce HR user documentation</t>
        </is>
      </c>
      <c r="D15" s="21" t="inlineStr">
        <is>
          <t>Create Art.13 transparency documentation for HR team.</t>
        </is>
      </c>
      <c r="E15" s="32" t="inlineStr">
        <is>
          <t>High</t>
        </is>
      </c>
      <c r="F15" s="27" t="inlineStr">
        <is>
          <t>Medium</t>
        </is>
      </c>
      <c r="G15" s="21" t="inlineStr">
        <is>
          <t>GRC / AI Lead</t>
        </is>
      </c>
      <c r="H15" s="27" t="inlineStr">
        <is>
          <t>2026-09-01</t>
        </is>
      </c>
    </row>
    <row r="16" ht="44" customHeight="1">
      <c r="A16" s="29" t="inlineStr">
        <is>
          <t>AI-002</t>
        </is>
      </c>
      <c r="B16" s="24" t="inlineStr">
        <is>
          <t>Art.14</t>
        </is>
      </c>
      <c r="C16" s="18" t="inlineStr">
        <is>
          <t>Formalise human oversight</t>
        </is>
      </c>
      <c r="D16" s="18" t="inlineStr">
        <is>
          <t>Assign oversight responsibility, document override procedure, train HR staff.</t>
        </is>
      </c>
      <c r="E16" s="32" t="inlineStr">
        <is>
          <t>High</t>
        </is>
      </c>
      <c r="F16" s="24" t="inlineStr">
        <is>
          <t>Medium</t>
        </is>
      </c>
      <c r="G16" s="18" t="inlineStr">
        <is>
          <t>HR / GRC</t>
        </is>
      </c>
      <c r="H16" s="24" t="inlineStr">
        <is>
          <t>2026-09-15</t>
        </is>
      </c>
    </row>
    <row r="17" ht="44" customHeight="1">
      <c r="A17" s="29" t="inlineStr">
        <is>
          <t>AI-002</t>
        </is>
      </c>
      <c r="B17" s="27" t="inlineStr">
        <is>
          <t>Art.26</t>
        </is>
      </c>
      <c r="C17" s="21" t="inlineStr">
        <is>
          <t>Conduct DPIA</t>
        </is>
      </c>
      <c r="D17" s="21" t="inlineStr">
        <is>
          <t>Conduct Data Protection Impact Assessment for AI-002 processing.</t>
        </is>
      </c>
      <c r="E17" s="32" t="inlineStr">
        <is>
          <t>High</t>
        </is>
      </c>
      <c r="F17" s="27" t="inlineStr">
        <is>
          <t>Medium</t>
        </is>
      </c>
      <c r="G17" s="21" t="inlineStr">
        <is>
          <t>Privacy Officer</t>
        </is>
      </c>
      <c r="H17" s="27" t="inlineStr">
        <is>
          <t>2026-09-01</t>
        </is>
      </c>
    </row>
    <row r="18" ht="44" customHeight="1">
      <c r="A18" s="31" t="inlineStr">
        <is>
          <t>AI-003</t>
        </is>
      </c>
      <c r="B18" s="24" t="inlineStr">
        <is>
          <t>Art.10</t>
        </is>
      </c>
      <c r="C18" s="18" t="inlineStr">
        <is>
          <t>Conduct demographic bias analysis</t>
        </is>
      </c>
      <c r="D18" s="18" t="inlineStr">
        <is>
          <t>Analyse fraud model outputs for demographic bias.</t>
        </is>
      </c>
      <c r="E18" s="32" t="inlineStr">
        <is>
          <t>High</t>
        </is>
      </c>
      <c r="F18" s="24" t="inlineStr">
        <is>
          <t>Medium</t>
        </is>
      </c>
      <c r="G18" s="18" t="inlineStr">
        <is>
          <t>AI Engineering</t>
        </is>
      </c>
      <c r="H18" s="24" t="inlineStr">
        <is>
          <t>2026-09-15</t>
        </is>
      </c>
    </row>
    <row r="19" ht="44" customHeight="1">
      <c r="A19" s="29" t="inlineStr">
        <is>
          <t>AI-002</t>
        </is>
      </c>
      <c r="B19" s="27" t="inlineStr">
        <is>
          <t>Art.15</t>
        </is>
      </c>
      <c r="C19" s="21" t="inlineStr">
        <is>
          <t>Adversarial robustness testing</t>
        </is>
      </c>
      <c r="D19" s="21" t="inlineStr">
        <is>
          <t>Test HR AI against adversarial inputs. Include in cybersecurity threat model.</t>
        </is>
      </c>
      <c r="E19" s="32" t="inlineStr">
        <is>
          <t>High</t>
        </is>
      </c>
      <c r="F19" s="27" t="inlineStr">
        <is>
          <t>High</t>
        </is>
      </c>
      <c r="G19" s="21" t="inlineStr">
        <is>
          <t>AI Security</t>
        </is>
      </c>
      <c r="H19" s="27" t="inlineStr">
        <is>
          <t>2026-10-01</t>
        </is>
      </c>
    </row>
    <row r="20" ht="44" customHeight="1">
      <c r="A20" s="31" t="inlineStr">
        <is>
          <t>AI-003</t>
        </is>
      </c>
      <c r="B20" s="24" t="inlineStr">
        <is>
          <t>Art.14</t>
        </is>
      </c>
      <c r="C20" s="18" t="inlineStr">
        <is>
          <t>Train fraud analysts</t>
        </is>
      </c>
      <c r="D20" s="18" t="inlineStr">
        <is>
          <t>Formal AI literacy training for fraud team on model limitations.</t>
        </is>
      </c>
      <c r="E20" s="31" t="inlineStr">
        <is>
          <t>Medium</t>
        </is>
      </c>
      <c r="F20" s="24" t="inlineStr">
        <is>
          <t>Low</t>
        </is>
      </c>
      <c r="G20" s="18" t="inlineStr">
        <is>
          <t>HR / GRC</t>
        </is>
      </c>
      <c r="H20" s="24" t="inlineStr">
        <is>
          <t>2026-10-15</t>
        </is>
      </c>
    </row>
    <row r="21" ht="44" customHeight="1">
      <c r="A21" s="23" t="inlineStr">
        <is>
          <t>AI-001</t>
        </is>
      </c>
      <c r="B21" s="27" t="inlineStr">
        <is>
          <t>Art.50.4</t>
        </is>
      </c>
      <c r="C21" s="21" t="inlineStr">
        <is>
          <t>AI content labelling</t>
        </is>
      </c>
      <c r="D21" s="21" t="inlineStr">
        <is>
          <t>Implement labelling for any AI-generated content shared externally.</t>
        </is>
      </c>
      <c r="E21" s="31" t="inlineStr">
        <is>
          <t>Medium</t>
        </is>
      </c>
      <c r="F21" s="27" t="inlineStr">
        <is>
          <t>Medium</t>
        </is>
      </c>
      <c r="G21" s="21" t="inlineStr">
        <is>
          <t>Engineering</t>
        </is>
      </c>
      <c r="H21" s="27" t="inlineStr">
        <is>
          <t>2026-09-01</t>
        </is>
      </c>
    </row>
  </sheetData>
  <autoFilter ref="A3:H21"/>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8" customWidth="1" min="1" max="1"/>
    <col width="18" customWidth="1" min="2" max="2"/>
    <col width="28" customWidth="1" min="3" max="3"/>
    <col width="18" customWidth="1" min="4" max="4"/>
  </cols>
  <sheetData>
    <row r="1" ht="36" customHeight="1">
      <c r="A1" s="9" t="inlineStr">
        <is>
          <t>Executive Summary</t>
        </is>
      </c>
    </row>
    <row r="2" ht="18" customHeight="1">
      <c r="A2" s="10" t="inlineStr">
        <is>
          <t>EU AI Act Compliance Gap Analysis — TechCorp Solutions Ltd</t>
        </is>
      </c>
    </row>
    <row r="4" ht="38" customHeight="1">
      <c r="A4" s="33" t="inlineStr">
        <is>
          <t>Total AI Systems Assessed</t>
        </is>
      </c>
      <c r="B4" s="34" t="inlineStr">
        <is>
          <t>3</t>
        </is>
      </c>
      <c r="C4" s="33" t="inlineStr">
        <is>
          <t>Critical Gaps</t>
        </is>
      </c>
      <c r="D4" s="34">
        <f>COUNTIF('Gap Analysis'!H4:H26,"Critical")</f>
        <v/>
      </c>
    </row>
    <row r="5" ht="38" customHeight="1">
      <c r="A5" s="33" t="inlineStr">
        <is>
          <t>High Priority Gaps</t>
        </is>
      </c>
      <c r="B5" s="34">
        <f>COUNTIF('Gap Analysis'!H4:H26,"High")</f>
        <v/>
      </c>
      <c r="C5" s="33" t="inlineStr">
        <is>
          <t>Medium Priority Gaps</t>
        </is>
      </c>
      <c r="D5" s="34">
        <f>COUNTIF('Gap Analysis'!H4:H26,"Medium")</f>
        <v/>
      </c>
    </row>
    <row r="6" ht="38" customHeight="1">
      <c r="A6" s="33" t="inlineStr">
        <is>
          <t>Non-Compliant Items</t>
        </is>
      </c>
      <c r="B6" s="34">
        <f>COUNTIF('Gap Analysis'!G4:G26,"Non-Compliant")</f>
        <v/>
      </c>
      <c r="C6" s="33" t="inlineStr">
        <is>
          <t>Partial Compliance Items</t>
        </is>
      </c>
      <c r="D6" s="34">
        <f>COUNTIF('Gap Analysis'!G4:G26,"Partial")</f>
        <v/>
      </c>
    </row>
    <row r="7" ht="38" customHeight="1">
      <c r="A7" s="33" t="inlineStr">
        <is>
          <t>Key Deadline</t>
        </is>
      </c>
      <c r="B7" s="34" t="inlineStr">
        <is>
          <t>August 2026</t>
        </is>
      </c>
      <c r="C7" s="33" t="inlineStr">
        <is>
          <t>High-Risk Systems</t>
        </is>
      </c>
      <c r="D7" s="34" t="inlineStr">
        <is>
          <t>AI-002 + AI-003</t>
        </is>
      </c>
    </row>
    <row r="9" ht="28" customHeight="1">
      <c r="A9" s="35" t="inlineStr">
        <is>
          <t>AI System Compliance Summary</t>
        </is>
      </c>
    </row>
    <row r="10" ht="50" customHeight="1">
      <c r="A10" s="36" t="inlineStr">
        <is>
          <t>AI-001</t>
        </is>
      </c>
      <c r="B10" s="37" t="inlineStr">
        <is>
          <t>Internal LLM Chatbot</t>
        </is>
      </c>
      <c r="C10" s="16" t="inlineStr">
        <is>
          <t>LIMITED RISK</t>
        </is>
      </c>
      <c r="D10" s="37" t="inlineStr">
        <is>
          <t>Mostly compliant. Two transparency gaps to address. Low regulatory risk.</t>
        </is>
      </c>
    </row>
    <row r="11" ht="50" customHeight="1">
      <c r="A11" s="38" t="inlineStr">
        <is>
          <t>AI-002</t>
        </is>
      </c>
      <c r="B11" s="37" t="inlineStr">
        <is>
          <t>HR Screening AI</t>
        </is>
      </c>
      <c r="C11" s="16" t="inlineStr">
        <is>
          <t>HIGH RISK — Annex III Cat.4</t>
        </is>
      </c>
      <c r="D11" s="37" t="inlineStr">
        <is>
          <t>CRITICAL — 6 non-compliant items. Conformity assessment required by Aug 2026. Highest priority.</t>
        </is>
      </c>
    </row>
    <row r="12" ht="50" customHeight="1">
      <c r="A12" s="39" t="inlineStr">
        <is>
          <t>AI-003</t>
        </is>
      </c>
      <c r="B12" s="37" t="inlineStr">
        <is>
          <t>Fraud Detection Model</t>
        </is>
      </c>
      <c r="C12" s="16" t="inlineStr">
        <is>
          <t>HIGH RISK — Annex III Cat.5b</t>
        </is>
      </c>
      <c r="D12" s="37" t="inlineStr">
        <is>
          <t>SIGNIFICANT GAPS — 3 non-compliant, 6 partial. Conformity assessment required by Aug 2026.</t>
        </is>
      </c>
    </row>
  </sheetData>
  <mergeCells count="3">
    <mergeCell ref="A1:D1"/>
    <mergeCell ref="A9:D9"/>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66" customWidth="1" min="2" max="2"/>
  </cols>
  <sheetData>
    <row r="1" ht="32" customHeight="1">
      <c r="A1" s="40" t="inlineStr">
        <is>
          <t>How to Use This Gap Analysis</t>
        </is>
      </c>
    </row>
    <row r="3" ht="52" customHeight="1">
      <c r="A3" s="41" t="inlineStr">
        <is>
          <t>PURPOSE</t>
        </is>
      </c>
      <c r="B3" s="14" t="inlineStr">
        <is>
          <t>EU AI Act compliance gap analysis for TechCorp Solutions Ltd — a fictional 500-employee SaaS company with 3 AI systems. Demonstrates framework literacy, risk tier classification, and compliance gap identification at entry GRC level.</t>
        </is>
      </c>
    </row>
    <row r="4" ht="52" customHeight="1">
      <c r="A4" s="42" t="inlineStr">
        <is>
          <t>RISK TIERS</t>
        </is>
      </c>
      <c r="B4" s="13" t="inlineStr">
        <is>
          <t>Unacceptable Risk = Prohibited (Art.5) | High Risk = Annex III/Annex I (full obligations) | Limited Risk = Transparency obligations only (Art.50) | Minimal Risk = No specific obligations</t>
        </is>
      </c>
    </row>
    <row r="5" ht="52" customHeight="1">
      <c r="A5" s="41" t="inlineStr">
        <is>
          <t>COMPLIANCE STATUS</t>
        </is>
      </c>
      <c r="B5" s="14" t="inlineStr">
        <is>
          <t>Compliant = Obligation met | Partial = Partially met, gaps exist | Non-Compliant = Obligation not met | Not Applicable = Not relevant</t>
        </is>
      </c>
    </row>
    <row r="6" ht="52" customHeight="1">
      <c r="A6" s="42" t="inlineStr">
        <is>
          <t>PRIORITY</t>
        </is>
      </c>
      <c r="B6" s="13" t="inlineStr">
        <is>
          <t>Critical = Must resolve before Aug 2026 deadline | High = Important gap requiring prompt action | Medium = Should address within 6 months | Low = Best practice improvement</t>
        </is>
      </c>
    </row>
    <row r="7" ht="52" customHeight="1">
      <c r="A7" s="41" t="inlineStr">
        <is>
          <t>COLOUR CODING</t>
        </is>
      </c>
      <c r="B7" s="14" t="inlineStr">
        <is>
          <t>AI-001 = Blue (Limited Risk) | AI-002 = Red (High Risk — HR) | AI-003 = Orange (High Risk — Fraud). Colour coding applied consistently across all sheets.</t>
        </is>
      </c>
    </row>
    <row r="8" ht="52" customHeight="1">
      <c r="A8" s="42" t="inlineStr">
        <is>
          <t>KEY DEADLINE</t>
        </is>
      </c>
      <c r="B8" s="13" t="inlineStr">
        <is>
          <t>August 2026 — High-Risk AI obligations under Annex III become enforceable. TechCorp must complete conformity assessments and register AI-002 and AI-003 before this date.</t>
        </is>
      </c>
    </row>
    <row r="9" ht="52" customHeight="1">
      <c r="A9" s="41" t="inlineStr">
        <is>
          <t>ARTICLE REFERENCES</t>
        </is>
      </c>
      <c r="B9" s="14" t="inlineStr">
        <is>
          <t>All article references are to Regulation (EU) 2024/1689 (EU AI Act). Annex IV specifies technical documentation requirements. Annex VI specifies conformity assessment procedures for Annex III systems.</t>
        </is>
      </c>
    </row>
    <row r="10" ht="52" customHeight="1">
      <c r="A10" s="42" t="inlineStr">
        <is>
          <t>LEARNER NOTE</t>
        </is>
      </c>
      <c r="B10" s="13" t="inlineStr">
        <is>
          <t>This project demonstrates framework awareness, risk tier classification, and structured gap analysis thinking — appropriate for entry to junior GRC level. Legal interpretation of specific articles would require qualified legal counsel in practice.</t>
        </is>
      </c>
    </row>
    <row r="11" ht="52" customHeight="1">
      <c r="A11" s="41" t="inlineStr">
        <is>
          <t>PORTFOLIO USE</t>
        </is>
      </c>
      <c r="B11" s="14" t="inlineStr">
        <is>
          <t>Demonstrates: EU AI Act structure and risk tiers | High-Risk AI obligation mapping | Multi-system compliance gap analysis | Remediation planning | GRC documentation standards</t>
        </is>
      </c>
    </row>
    <row r="12" ht="52" customHeight="1">
      <c r="A12" s="42" t="inlineStr">
        <is>
          <t>DISCLAIMER</t>
        </is>
      </c>
      <c r="B12" s="13" t="inlineStr">
        <is>
          <t>Fictional scenario for portfolio purposes. All organisations, AI systems, and findings are illustrative only.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2026-06-06T13:09:02Z</dcterms:created>
  <dcterms:modified xmlns:dcterms="http://purl.org/dc/terms/" xmlns:xsi="http://www.w3.org/2001/XMLSchema-instance" xsi:type="dcterms:W3CDTF">2026-06-06T13:09:02Z</dcterms:modified>
</cp:coreProperties>
</file>